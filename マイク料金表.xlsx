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TY\Desktop\"/>
    </mc:Choice>
  </mc:AlternateContent>
  <xr:revisionPtr revIDLastSave="0" documentId="13_ncr:1_{2811E184-90B8-42EA-A3AC-2863AC900DAA}" xr6:coauthVersionLast="47" xr6:coauthVersionMax="47" xr10:uidLastSave="{00000000-0000-0000-0000-000000000000}"/>
  <bookViews>
    <workbookView xWindow="-120" yWindow="-120" windowWidth="29040" windowHeight="15720" activeTab="3" xr2:uid="{BD0FD287-6373-454C-8CFD-DB7F90A907F7}"/>
  </bookViews>
  <sheets>
    <sheet name="ボールルーム" sheetId="1" r:id="rId1"/>
    <sheet name="コンウェイ1・2・3" sheetId="2" r:id="rId2"/>
    <sheet name="コンウェイ2＆3" sheetId="4" r:id="rId3"/>
    <sheet name="パビリオン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8" i="5" l="1"/>
  <c r="H28" i="5"/>
  <c r="F28" i="5"/>
  <c r="C28" i="5"/>
  <c r="Q27" i="5"/>
  <c r="H27" i="5"/>
  <c r="F27" i="5"/>
  <c r="C27" i="5"/>
  <c r="Q26" i="5"/>
  <c r="H26" i="5"/>
  <c r="F26" i="5"/>
  <c r="C26" i="5"/>
  <c r="Q25" i="5"/>
  <c r="H25" i="5"/>
  <c r="F25" i="5"/>
  <c r="C25" i="5"/>
  <c r="Q24" i="5"/>
  <c r="H24" i="5"/>
  <c r="F24" i="5"/>
  <c r="C24" i="5"/>
  <c r="Q23" i="5"/>
  <c r="H23" i="5"/>
  <c r="F23" i="5"/>
  <c r="C23" i="5"/>
  <c r="Q22" i="5"/>
  <c r="H22" i="5"/>
  <c r="F22" i="5"/>
  <c r="C22" i="5"/>
  <c r="Q21" i="5"/>
  <c r="H21" i="5"/>
  <c r="F21" i="5"/>
  <c r="C21" i="5"/>
  <c r="Q20" i="5"/>
  <c r="H20" i="5"/>
  <c r="F20" i="5"/>
  <c r="C20" i="5"/>
  <c r="R23" i="4"/>
  <c r="H23" i="4"/>
  <c r="E23" i="4"/>
  <c r="R22" i="4"/>
  <c r="H22" i="4"/>
  <c r="E22" i="4"/>
  <c r="R21" i="4"/>
  <c r="H21" i="4"/>
  <c r="E21" i="4"/>
  <c r="R20" i="4"/>
  <c r="H20" i="4"/>
  <c r="E20" i="4"/>
  <c r="R19" i="4"/>
  <c r="H19" i="4"/>
  <c r="E19" i="4"/>
  <c r="R18" i="4"/>
  <c r="H18" i="4"/>
  <c r="E18" i="4"/>
  <c r="R17" i="4"/>
  <c r="H17" i="4"/>
  <c r="E17" i="4"/>
  <c r="R16" i="4"/>
  <c r="H16" i="4"/>
  <c r="E16" i="4"/>
  <c r="R15" i="4"/>
  <c r="H15" i="4"/>
  <c r="E15" i="4"/>
  <c r="N19" i="2"/>
  <c r="N18" i="2"/>
  <c r="N23" i="2"/>
  <c r="F23" i="2"/>
  <c r="D23" i="2"/>
  <c r="N22" i="2"/>
  <c r="F22" i="2"/>
  <c r="D22" i="2"/>
  <c r="N21" i="2"/>
  <c r="F21" i="2"/>
  <c r="D21" i="2"/>
  <c r="N20" i="2"/>
  <c r="F20" i="2"/>
  <c r="D20" i="2"/>
  <c r="F19" i="2"/>
  <c r="D19" i="2"/>
  <c r="F18" i="2"/>
  <c r="D18" i="2"/>
  <c r="N17" i="2"/>
  <c r="F17" i="2"/>
  <c r="D17" i="2"/>
  <c r="N16" i="2"/>
  <c r="F16" i="2"/>
  <c r="D16" i="2"/>
  <c r="N15" i="2"/>
  <c r="F15" i="2"/>
  <c r="D15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2" i="1"/>
  <c r="N3" i="2"/>
  <c r="N4" i="2"/>
  <c r="N5" i="2"/>
  <c r="N6" i="2"/>
  <c r="N7" i="2"/>
  <c r="N8" i="2"/>
  <c r="N9" i="2"/>
  <c r="N10" i="2"/>
  <c r="N11" i="2"/>
  <c r="N12" i="2"/>
  <c r="N13" i="2"/>
  <c r="N14" i="2"/>
  <c r="N2" i="2"/>
  <c r="R3" i="4"/>
  <c r="R4" i="4"/>
  <c r="R5" i="4"/>
  <c r="R6" i="4"/>
  <c r="R7" i="4"/>
  <c r="R8" i="4"/>
  <c r="R9" i="4"/>
  <c r="R10" i="4"/>
  <c r="R11" i="4"/>
  <c r="R12" i="4"/>
  <c r="R13" i="4"/>
  <c r="R14" i="4"/>
  <c r="R2" i="4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" i="5"/>
  <c r="C15" i="5"/>
  <c r="F15" i="5"/>
  <c r="H15" i="5"/>
  <c r="C16" i="5"/>
  <c r="F16" i="5"/>
  <c r="H16" i="5"/>
  <c r="C17" i="5"/>
  <c r="F17" i="5"/>
  <c r="H17" i="5"/>
  <c r="C18" i="5"/>
  <c r="F18" i="5"/>
  <c r="H18" i="5"/>
  <c r="C19" i="5"/>
  <c r="F19" i="5"/>
  <c r="H19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H5" i="5"/>
  <c r="F5" i="5"/>
  <c r="H4" i="5"/>
  <c r="F4" i="5"/>
  <c r="H3" i="5"/>
  <c r="F3" i="5"/>
  <c r="H2" i="5"/>
  <c r="F2" i="5"/>
  <c r="H3" i="4"/>
  <c r="H4" i="4"/>
  <c r="H5" i="4"/>
  <c r="H6" i="4"/>
  <c r="H7" i="4"/>
  <c r="H8" i="4"/>
  <c r="H9" i="4"/>
  <c r="H10" i="4"/>
  <c r="H11" i="4"/>
  <c r="H12" i="4"/>
  <c r="H13" i="4"/>
  <c r="H14" i="4"/>
  <c r="H2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D4" i="2"/>
  <c r="F3" i="2"/>
  <c r="D3" i="2"/>
  <c r="F2" i="2"/>
  <c r="D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</calcChain>
</file>

<file path=xl/sharedStrings.xml><?xml version="1.0" encoding="utf-8"?>
<sst xmlns="http://schemas.openxmlformats.org/spreadsheetml/2006/main" count="165" uniqueCount="22">
  <si>
    <t>追加ワイヤレスマイク</t>
    <rPh sb="0" eb="2">
      <t>ツイカ</t>
    </rPh>
    <phoneticPr fontId="2"/>
  </si>
  <si>
    <t>仮設ワイヤレスマイク</t>
    <rPh sb="0" eb="2">
      <t>カセツ</t>
    </rPh>
    <phoneticPr fontId="2"/>
  </si>
  <si>
    <t>追加ピンマイク</t>
    <rPh sb="0" eb="2">
      <t>ツイカ</t>
    </rPh>
    <phoneticPr fontId="2"/>
  </si>
  <si>
    <t>仮設ピンマイク</t>
    <rPh sb="0" eb="2">
      <t>カセツ</t>
    </rPh>
    <phoneticPr fontId="2"/>
  </si>
  <si>
    <t>基本料金</t>
    <rPh sb="0" eb="2">
      <t>キホン</t>
    </rPh>
    <rPh sb="2" eb="4">
      <t>リョウキン</t>
    </rPh>
    <phoneticPr fontId="2"/>
  </si>
  <si>
    <t>デジタルミキサー</t>
    <phoneticPr fontId="2"/>
  </si>
  <si>
    <t>合計</t>
    <rPh sb="0" eb="2">
      <t>ゴウケイ</t>
    </rPh>
    <phoneticPr fontId="2"/>
  </si>
  <si>
    <t>基本ピンマイク</t>
    <rPh sb="0" eb="2">
      <t>キホン</t>
    </rPh>
    <phoneticPr fontId="2"/>
  </si>
  <si>
    <t>基本ワイヤレスマイク</t>
    <rPh sb="0" eb="2">
      <t>キホン</t>
    </rPh>
    <phoneticPr fontId="2"/>
  </si>
  <si>
    <t>基本有線マイク</t>
    <rPh sb="0" eb="2">
      <t>キホン</t>
    </rPh>
    <rPh sb="2" eb="4">
      <t>ユウセン</t>
    </rPh>
    <phoneticPr fontId="2"/>
  </si>
  <si>
    <t>オペレーター</t>
    <phoneticPr fontId="2"/>
  </si>
  <si>
    <t>ピン合計</t>
    <rPh sb="2" eb="4">
      <t>ゴウケイ</t>
    </rPh>
    <phoneticPr fontId="2"/>
  </si>
  <si>
    <t>ワイ合計</t>
    <rPh sb="2" eb="4">
      <t>ゴウケイ</t>
    </rPh>
    <phoneticPr fontId="2"/>
  </si>
  <si>
    <t>アナログミキサー</t>
    <phoneticPr fontId="2"/>
  </si>
  <si>
    <t>追加有線マイク</t>
    <rPh sb="0" eb="2">
      <t>ツイカ</t>
    </rPh>
    <rPh sb="2" eb="4">
      <t>ユウセン</t>
    </rPh>
    <phoneticPr fontId="2"/>
  </si>
  <si>
    <t>有線合計</t>
    <rPh sb="0" eb="2">
      <t>ユウセン</t>
    </rPh>
    <rPh sb="2" eb="4">
      <t>ゴウケイ</t>
    </rPh>
    <phoneticPr fontId="2"/>
  </si>
  <si>
    <t>連絡</t>
    <rPh sb="0" eb="2">
      <t>レンラク</t>
    </rPh>
    <phoneticPr fontId="2"/>
  </si>
  <si>
    <t>〇</t>
    <phoneticPr fontId="2"/>
  </si>
  <si>
    <t>シャングリ・ラ ボールルーム</t>
    <phoneticPr fontId="2"/>
  </si>
  <si>
    <t>ザ・パビリオン</t>
    <phoneticPr fontId="2"/>
  </si>
  <si>
    <t>コンウェイルーム１/2/3</t>
    <phoneticPr fontId="2"/>
  </si>
  <si>
    <t>コンウェイルーム２+３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</si>
</sst>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1"/>
      <color rgb="FF0070C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8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4" borderId="3" xfId="0" applyFill="1" applyBorder="1">
      <alignment vertical="center"/>
    </xf>
    <xf numFmtId="176" fontId="0" fillId="0" borderId="3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4" borderId="13" xfId="0" applyFill="1" applyBorder="1">
      <alignment vertical="center"/>
    </xf>
    <xf numFmtId="176" fontId="0" fillId="0" borderId="13" xfId="0" applyNumberFormat="1" applyBorder="1">
      <alignment vertical="center"/>
    </xf>
    <xf numFmtId="0" fontId="0" fillId="0" borderId="13" xfId="0" applyBorder="1">
      <alignment vertical="center"/>
    </xf>
    <xf numFmtId="176" fontId="0" fillId="0" borderId="14" xfId="0" applyNumberFormat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3" xfId="0" applyFill="1" applyBorder="1">
      <alignment vertical="center"/>
    </xf>
    <xf numFmtId="0" fontId="3" fillId="5" borderId="5" xfId="0" applyFont="1" applyFill="1" applyBorder="1" applyAlignment="1">
      <alignment horizontal="center" vertical="center"/>
    </xf>
    <xf numFmtId="176" fontId="0" fillId="5" borderId="3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176" fontId="0" fillId="5" borderId="13" xfId="0" applyNumberFormat="1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2" borderId="17" xfId="0" applyFill="1" applyBorder="1">
      <alignment vertical="center"/>
    </xf>
    <xf numFmtId="0" fontId="0" fillId="4" borderId="17" xfId="0" applyFill="1" applyBorder="1">
      <alignment vertical="center"/>
    </xf>
    <xf numFmtId="176" fontId="0" fillId="0" borderId="18" xfId="0" applyNumberFormat="1" applyBorder="1">
      <alignment vertical="center"/>
    </xf>
    <xf numFmtId="176" fontId="0" fillId="5" borderId="17" xfId="0" applyNumberFormat="1" applyFill="1" applyBorder="1">
      <alignment vertical="center"/>
    </xf>
    <xf numFmtId="176" fontId="0" fillId="0" borderId="17" xfId="0" applyNumberFormat="1" applyBorder="1">
      <alignment vertical="center"/>
    </xf>
    <xf numFmtId="176" fontId="0" fillId="0" borderId="19" xfId="0" applyNumberFormat="1" applyBorder="1">
      <alignment vertical="center"/>
    </xf>
    <xf numFmtId="176" fontId="4" fillId="0" borderId="8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6" fontId="0" fillId="0" borderId="2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6" fillId="0" borderId="8" xfId="0" applyNumberFormat="1" applyFont="1" applyBorder="1">
      <alignment vertical="center"/>
    </xf>
    <xf numFmtId="176" fontId="0" fillId="0" borderId="22" xfId="0" applyNumberFormat="1" applyBorder="1">
      <alignment vertical="center"/>
    </xf>
    <xf numFmtId="0" fontId="0" fillId="0" borderId="24" xfId="0" applyBorder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176" fontId="0" fillId="0" borderId="23" xfId="0" applyNumberFormat="1" applyBorder="1">
      <alignment vertical="center"/>
    </xf>
    <xf numFmtId="0" fontId="0" fillId="0" borderId="25" xfId="0" applyBorder="1">
      <alignment vertical="center"/>
    </xf>
    <xf numFmtId="0" fontId="0" fillId="3" borderId="18" xfId="0" applyFill="1" applyBorder="1">
      <alignment vertical="center"/>
    </xf>
    <xf numFmtId="0" fontId="0" fillId="2" borderId="18" xfId="0" applyFill="1" applyBorder="1">
      <alignment vertical="center"/>
    </xf>
    <xf numFmtId="0" fontId="0" fillId="4" borderId="18" xfId="0" applyFill="1" applyBorder="1">
      <alignment vertical="center"/>
    </xf>
    <xf numFmtId="176" fontId="0" fillId="5" borderId="18" xfId="0" applyNumberFormat="1" applyFill="1" applyBorder="1">
      <alignment vertical="center"/>
    </xf>
    <xf numFmtId="176" fontId="0" fillId="0" borderId="26" xfId="0" applyNumberFormat="1" applyBorder="1">
      <alignment vertical="center"/>
    </xf>
    <xf numFmtId="176" fontId="0" fillId="0" borderId="27" xfId="0" applyNumberFormat="1" applyBorder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right" vertical="center"/>
    </xf>
    <xf numFmtId="176" fontId="7" fillId="0" borderId="8" xfId="0" applyNumberFormat="1" applyFont="1" applyBorder="1">
      <alignment vertical="center"/>
    </xf>
    <xf numFmtId="176" fontId="0" fillId="0" borderId="1" xfId="0" applyNumberFormat="1" applyFont="1" applyBorder="1">
      <alignment vertical="center"/>
    </xf>
    <xf numFmtId="176" fontId="0" fillId="0" borderId="0" xfId="0" applyNumberFormat="1" applyBorder="1">
      <alignment vertical="center"/>
    </xf>
    <xf numFmtId="176" fontId="0" fillId="0" borderId="3" xfId="0" applyNumberFormat="1" applyFont="1" applyBorder="1">
      <alignment vertical="center"/>
    </xf>
    <xf numFmtId="176" fontId="0" fillId="0" borderId="8" xfId="0" applyNumberFormat="1" applyFont="1" applyBorder="1">
      <alignment vertical="center"/>
    </xf>
    <xf numFmtId="176" fontId="0" fillId="0" borderId="19" xfId="0" applyNumberFormat="1" applyFont="1" applyBorder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2926-A139-4150-AD29-D7623A7D1464}">
  <sheetPr>
    <pageSetUpPr fitToPage="1"/>
  </sheetPr>
  <dimension ref="A1:S50"/>
  <sheetViews>
    <sheetView workbookViewId="0">
      <pane ySplit="1" topLeftCell="A5" activePane="bottomLeft" state="frozen"/>
      <selection pane="bottomLeft" activeCell="I30" sqref="I30"/>
    </sheetView>
  </sheetViews>
  <sheetFormatPr defaultRowHeight="18.75" x14ac:dyDescent="0.4"/>
  <cols>
    <col min="1" max="4" width="14.5" customWidth="1"/>
    <col min="5" max="5" width="6.625" customWidth="1"/>
    <col min="6" max="8" width="14.5" customWidth="1"/>
    <col min="9" max="9" width="6.625" customWidth="1"/>
    <col min="10" max="18" width="14.5" customWidth="1"/>
    <col min="19" max="19" width="6.625" customWidth="1"/>
  </cols>
  <sheetData>
    <row r="1" spans="1:19" ht="19.5" thickBot="1" x14ac:dyDescent="0.45">
      <c r="A1" s="20" t="s">
        <v>9</v>
      </c>
      <c r="B1" s="21" t="s">
        <v>8</v>
      </c>
      <c r="C1" s="21" t="s">
        <v>0</v>
      </c>
      <c r="D1" s="21" t="s">
        <v>1</v>
      </c>
      <c r="E1" s="21" t="s">
        <v>12</v>
      </c>
      <c r="F1" s="22" t="s">
        <v>7</v>
      </c>
      <c r="G1" s="22" t="s">
        <v>2</v>
      </c>
      <c r="H1" s="22" t="s">
        <v>3</v>
      </c>
      <c r="I1" s="22" t="s">
        <v>11</v>
      </c>
      <c r="J1" s="23" t="s">
        <v>4</v>
      </c>
      <c r="K1" s="23" t="s">
        <v>0</v>
      </c>
      <c r="L1" s="23" t="s">
        <v>1</v>
      </c>
      <c r="M1" s="23" t="s">
        <v>2</v>
      </c>
      <c r="N1" s="23" t="s">
        <v>3</v>
      </c>
      <c r="O1" s="23" t="s">
        <v>5</v>
      </c>
      <c r="P1" s="24" t="s">
        <v>5</v>
      </c>
      <c r="Q1" s="24" t="s">
        <v>10</v>
      </c>
      <c r="R1" s="55" t="s">
        <v>6</v>
      </c>
      <c r="S1" s="57" t="s">
        <v>16</v>
      </c>
    </row>
    <row r="2" spans="1:19" x14ac:dyDescent="0.4">
      <c r="A2" s="12">
        <v>2</v>
      </c>
      <c r="B2" s="6">
        <v>2</v>
      </c>
      <c r="C2" s="6"/>
      <c r="D2" s="6"/>
      <c r="E2" s="47">
        <f>SUM(B2:D2)</f>
        <v>2</v>
      </c>
      <c r="F2" s="7"/>
      <c r="G2" s="7"/>
      <c r="H2" s="7"/>
      <c r="I2" s="51">
        <f>SUM(F2:H2)</f>
        <v>0</v>
      </c>
      <c r="J2" s="8">
        <v>60000</v>
      </c>
      <c r="K2" s="8"/>
      <c r="L2" s="8"/>
      <c r="M2" s="8"/>
      <c r="N2" s="8"/>
      <c r="O2" s="8"/>
      <c r="P2" s="9"/>
      <c r="Q2" s="9"/>
      <c r="R2" s="56">
        <f>SUM(J2:Q2)</f>
        <v>60000</v>
      </c>
      <c r="S2" s="58"/>
    </row>
    <row r="3" spans="1:19" x14ac:dyDescent="0.4">
      <c r="A3" s="13">
        <v>2</v>
      </c>
      <c r="B3" s="4">
        <v>2</v>
      </c>
      <c r="C3" s="4">
        <v>1</v>
      </c>
      <c r="D3" s="4"/>
      <c r="E3" s="47">
        <f t="shared" ref="E3:E49" si="0">SUM(B3:D3)</f>
        <v>3</v>
      </c>
      <c r="F3" s="5"/>
      <c r="G3" s="5"/>
      <c r="H3" s="5"/>
      <c r="I3" s="51">
        <f t="shared" ref="I3:I49" si="1">SUM(F3:H3)</f>
        <v>0</v>
      </c>
      <c r="J3" s="2">
        <v>60000</v>
      </c>
      <c r="K3" s="2">
        <v>5000</v>
      </c>
      <c r="L3" s="2"/>
      <c r="M3" s="2"/>
      <c r="N3" s="3"/>
      <c r="O3" s="2"/>
      <c r="P3" s="10"/>
      <c r="Q3" s="10"/>
      <c r="R3" s="56">
        <f t="shared" ref="R3:R49" si="2">SUM(J3:Q3)</f>
        <v>65000</v>
      </c>
      <c r="S3" s="59"/>
    </row>
    <row r="4" spans="1:19" x14ac:dyDescent="0.4">
      <c r="A4" s="13">
        <v>2</v>
      </c>
      <c r="B4" s="4">
        <v>2</v>
      </c>
      <c r="C4" s="4">
        <v>2</v>
      </c>
      <c r="D4" s="4"/>
      <c r="E4" s="47">
        <f t="shared" si="0"/>
        <v>4</v>
      </c>
      <c r="F4" s="5"/>
      <c r="G4" s="5"/>
      <c r="H4" s="5"/>
      <c r="I4" s="51">
        <f t="shared" si="1"/>
        <v>0</v>
      </c>
      <c r="J4" s="2">
        <v>60000</v>
      </c>
      <c r="K4" s="2">
        <v>10000</v>
      </c>
      <c r="L4" s="2"/>
      <c r="M4" s="2"/>
      <c r="N4" s="2"/>
      <c r="O4" s="2"/>
      <c r="P4" s="10"/>
      <c r="Q4" s="10"/>
      <c r="R4" s="56">
        <f t="shared" si="2"/>
        <v>70000</v>
      </c>
      <c r="S4" s="59"/>
    </row>
    <row r="5" spans="1:19" x14ac:dyDescent="0.4">
      <c r="A5" s="13">
        <v>2</v>
      </c>
      <c r="B5" s="4">
        <v>2</v>
      </c>
      <c r="C5" s="4">
        <v>2</v>
      </c>
      <c r="D5" s="4">
        <v>1</v>
      </c>
      <c r="E5" s="47">
        <f t="shared" si="0"/>
        <v>5</v>
      </c>
      <c r="F5" s="5"/>
      <c r="G5" s="5"/>
      <c r="H5" s="5"/>
      <c r="I5" s="51">
        <f t="shared" si="1"/>
        <v>0</v>
      </c>
      <c r="J5" s="2">
        <v>60000</v>
      </c>
      <c r="K5" s="2">
        <v>10000</v>
      </c>
      <c r="L5" s="2">
        <v>25000</v>
      </c>
      <c r="M5" s="2"/>
      <c r="N5" s="2"/>
      <c r="O5" s="2"/>
      <c r="P5" s="10"/>
      <c r="Q5" s="10"/>
      <c r="R5" s="56">
        <f t="shared" si="2"/>
        <v>95000</v>
      </c>
      <c r="S5" s="59"/>
    </row>
    <row r="6" spans="1:19" x14ac:dyDescent="0.4">
      <c r="A6" s="13">
        <v>2</v>
      </c>
      <c r="B6" s="4">
        <v>2</v>
      </c>
      <c r="C6" s="4">
        <v>2</v>
      </c>
      <c r="D6" s="4">
        <v>2</v>
      </c>
      <c r="E6" s="47">
        <f t="shared" si="0"/>
        <v>6</v>
      </c>
      <c r="F6" s="5"/>
      <c r="G6" s="5"/>
      <c r="H6" s="5"/>
      <c r="I6" s="51">
        <f t="shared" si="1"/>
        <v>0</v>
      </c>
      <c r="J6" s="2">
        <v>60000</v>
      </c>
      <c r="K6" s="2">
        <v>10000</v>
      </c>
      <c r="L6" s="2">
        <v>50000</v>
      </c>
      <c r="M6" s="2"/>
      <c r="N6" s="2"/>
      <c r="O6" s="2"/>
      <c r="P6" s="10"/>
      <c r="Q6" s="10"/>
      <c r="R6" s="56">
        <f t="shared" si="2"/>
        <v>120000</v>
      </c>
      <c r="S6" s="59"/>
    </row>
    <row r="7" spans="1:19" x14ac:dyDescent="0.4">
      <c r="A7" s="13">
        <v>2</v>
      </c>
      <c r="B7" s="4">
        <v>2</v>
      </c>
      <c r="C7" s="4">
        <v>2</v>
      </c>
      <c r="D7" s="4">
        <v>3</v>
      </c>
      <c r="E7" s="47">
        <f t="shared" si="0"/>
        <v>7</v>
      </c>
      <c r="F7" s="5"/>
      <c r="G7" s="5"/>
      <c r="H7" s="5"/>
      <c r="I7" s="51">
        <f t="shared" si="1"/>
        <v>0</v>
      </c>
      <c r="J7" s="2">
        <v>60000</v>
      </c>
      <c r="K7" s="2">
        <v>10000</v>
      </c>
      <c r="L7" s="2">
        <v>75000</v>
      </c>
      <c r="M7" s="2"/>
      <c r="N7" s="2"/>
      <c r="O7" s="2"/>
      <c r="P7" s="10"/>
      <c r="Q7" s="61"/>
      <c r="R7" s="56">
        <f t="shared" si="2"/>
        <v>145000</v>
      </c>
      <c r="S7" s="59" t="s">
        <v>17</v>
      </c>
    </row>
    <row r="8" spans="1:19" x14ac:dyDescent="0.4">
      <c r="A8" s="13">
        <v>2</v>
      </c>
      <c r="B8" s="4">
        <v>2</v>
      </c>
      <c r="C8" s="4">
        <v>2</v>
      </c>
      <c r="D8" s="4">
        <v>4</v>
      </c>
      <c r="E8" s="47">
        <f t="shared" si="0"/>
        <v>8</v>
      </c>
      <c r="F8" s="5"/>
      <c r="G8" s="5"/>
      <c r="H8" s="5"/>
      <c r="I8" s="51">
        <f t="shared" si="1"/>
        <v>0</v>
      </c>
      <c r="J8" s="2">
        <v>60000</v>
      </c>
      <c r="K8" s="2">
        <v>10000</v>
      </c>
      <c r="L8" s="2">
        <v>100000</v>
      </c>
      <c r="M8" s="2"/>
      <c r="N8" s="2"/>
      <c r="O8" s="2"/>
      <c r="P8" s="10"/>
      <c r="Q8" s="61"/>
      <c r="R8" s="56">
        <f t="shared" si="2"/>
        <v>170000</v>
      </c>
      <c r="S8" s="59" t="s">
        <v>17</v>
      </c>
    </row>
    <row r="9" spans="1:19" x14ac:dyDescent="0.4">
      <c r="A9" s="13">
        <v>2</v>
      </c>
      <c r="B9" s="4">
        <v>2</v>
      </c>
      <c r="C9" s="4">
        <v>2</v>
      </c>
      <c r="D9" s="4">
        <v>5</v>
      </c>
      <c r="E9" s="47">
        <f t="shared" si="0"/>
        <v>9</v>
      </c>
      <c r="F9" s="5"/>
      <c r="G9" s="5"/>
      <c r="H9" s="5"/>
      <c r="I9" s="51">
        <f t="shared" si="1"/>
        <v>0</v>
      </c>
      <c r="J9" s="2">
        <v>60000</v>
      </c>
      <c r="K9" s="2">
        <v>10000</v>
      </c>
      <c r="L9" s="2">
        <v>125000</v>
      </c>
      <c r="M9" s="2"/>
      <c r="N9" s="2"/>
      <c r="O9" s="2"/>
      <c r="P9" s="10">
        <v>60000</v>
      </c>
      <c r="Q9" s="76">
        <v>45000</v>
      </c>
      <c r="R9" s="56">
        <f t="shared" si="2"/>
        <v>300000</v>
      </c>
      <c r="S9" s="59" t="s">
        <v>17</v>
      </c>
    </row>
    <row r="10" spans="1:19" x14ac:dyDescent="0.4">
      <c r="A10" s="13">
        <v>2</v>
      </c>
      <c r="B10" s="4">
        <v>2</v>
      </c>
      <c r="C10" s="4">
        <v>2</v>
      </c>
      <c r="D10" s="4">
        <v>6</v>
      </c>
      <c r="E10" s="47">
        <f t="shared" si="0"/>
        <v>10</v>
      </c>
      <c r="F10" s="5"/>
      <c r="G10" s="5"/>
      <c r="H10" s="5"/>
      <c r="I10" s="51">
        <f t="shared" si="1"/>
        <v>0</v>
      </c>
      <c r="J10" s="2">
        <v>60000</v>
      </c>
      <c r="K10" s="2">
        <v>10000</v>
      </c>
      <c r="L10" s="2">
        <v>150000</v>
      </c>
      <c r="M10" s="2"/>
      <c r="N10" s="2"/>
      <c r="O10" s="2"/>
      <c r="P10" s="10">
        <v>60000</v>
      </c>
      <c r="Q10" s="76">
        <v>45000</v>
      </c>
      <c r="R10" s="56">
        <f t="shared" si="2"/>
        <v>325000</v>
      </c>
      <c r="S10" s="59" t="s">
        <v>17</v>
      </c>
    </row>
    <row r="11" spans="1:19" x14ac:dyDescent="0.4">
      <c r="A11" s="13">
        <v>2</v>
      </c>
      <c r="B11" s="4"/>
      <c r="C11" s="4"/>
      <c r="D11" s="4"/>
      <c r="E11" s="47">
        <f t="shared" si="0"/>
        <v>0</v>
      </c>
      <c r="F11" s="5">
        <v>2</v>
      </c>
      <c r="G11" s="5"/>
      <c r="H11" s="5"/>
      <c r="I11" s="51">
        <f t="shared" si="1"/>
        <v>2</v>
      </c>
      <c r="J11" s="2">
        <v>60000</v>
      </c>
      <c r="K11" s="2"/>
      <c r="L11" s="2"/>
      <c r="M11" s="2"/>
      <c r="N11" s="2"/>
      <c r="O11" s="2"/>
      <c r="P11" s="10"/>
      <c r="Q11" s="10"/>
      <c r="R11" s="56">
        <f t="shared" si="2"/>
        <v>60000</v>
      </c>
      <c r="S11" s="59"/>
    </row>
    <row r="12" spans="1:19" x14ac:dyDescent="0.4">
      <c r="A12" s="13">
        <v>2</v>
      </c>
      <c r="B12" s="4"/>
      <c r="C12" s="4"/>
      <c r="D12" s="4"/>
      <c r="E12" s="47">
        <f t="shared" si="0"/>
        <v>0</v>
      </c>
      <c r="F12" s="5">
        <v>2</v>
      </c>
      <c r="G12" s="5">
        <v>1</v>
      </c>
      <c r="H12" s="5"/>
      <c r="I12" s="51">
        <f t="shared" si="1"/>
        <v>3</v>
      </c>
      <c r="J12" s="2">
        <v>60000</v>
      </c>
      <c r="K12" s="2"/>
      <c r="L12" s="2"/>
      <c r="M12" s="2">
        <v>5000</v>
      </c>
      <c r="N12" s="2"/>
      <c r="O12" s="2"/>
      <c r="P12" s="10">
        <v>60000</v>
      </c>
      <c r="Q12" s="10">
        <v>45000</v>
      </c>
      <c r="R12" s="56">
        <f t="shared" si="2"/>
        <v>170000</v>
      </c>
      <c r="S12" s="59" t="s">
        <v>17</v>
      </c>
    </row>
    <row r="13" spans="1:19" x14ac:dyDescent="0.4">
      <c r="A13" s="13">
        <v>2</v>
      </c>
      <c r="B13" s="4"/>
      <c r="C13" s="4"/>
      <c r="D13" s="4"/>
      <c r="E13" s="47">
        <f t="shared" si="0"/>
        <v>0</v>
      </c>
      <c r="F13" s="5">
        <v>2</v>
      </c>
      <c r="G13" s="5">
        <v>2</v>
      </c>
      <c r="H13" s="5"/>
      <c r="I13" s="51">
        <f t="shared" si="1"/>
        <v>4</v>
      </c>
      <c r="J13" s="2">
        <v>60000</v>
      </c>
      <c r="K13" s="2"/>
      <c r="L13" s="2"/>
      <c r="M13" s="2">
        <v>10000</v>
      </c>
      <c r="N13" s="2"/>
      <c r="O13" s="2"/>
      <c r="P13" s="10">
        <v>60000</v>
      </c>
      <c r="Q13" s="10">
        <v>45000</v>
      </c>
      <c r="R13" s="56">
        <f t="shared" si="2"/>
        <v>175000</v>
      </c>
      <c r="S13" s="59" t="s">
        <v>17</v>
      </c>
    </row>
    <row r="14" spans="1:19" x14ac:dyDescent="0.4">
      <c r="A14" s="13">
        <v>2</v>
      </c>
      <c r="B14" s="4"/>
      <c r="C14" s="4"/>
      <c r="D14" s="4"/>
      <c r="E14" s="47">
        <f t="shared" si="0"/>
        <v>0</v>
      </c>
      <c r="F14" s="5">
        <v>2</v>
      </c>
      <c r="G14" s="5">
        <v>2</v>
      </c>
      <c r="H14" s="5">
        <v>1</v>
      </c>
      <c r="I14" s="51">
        <f t="shared" si="1"/>
        <v>5</v>
      </c>
      <c r="J14" s="2">
        <v>60000</v>
      </c>
      <c r="K14" s="2"/>
      <c r="L14" s="2"/>
      <c r="M14" s="2">
        <v>10000</v>
      </c>
      <c r="N14" s="2">
        <v>25000</v>
      </c>
      <c r="O14" s="2"/>
      <c r="P14" s="10">
        <v>60000</v>
      </c>
      <c r="Q14" s="10">
        <v>45000</v>
      </c>
      <c r="R14" s="56">
        <f t="shared" si="2"/>
        <v>200000</v>
      </c>
      <c r="S14" s="59" t="s">
        <v>17</v>
      </c>
    </row>
    <row r="15" spans="1:19" x14ac:dyDescent="0.4">
      <c r="A15" s="13">
        <v>2</v>
      </c>
      <c r="B15" s="4"/>
      <c r="C15" s="4"/>
      <c r="D15" s="4"/>
      <c r="E15" s="47">
        <f t="shared" si="0"/>
        <v>0</v>
      </c>
      <c r="F15" s="5">
        <v>2</v>
      </c>
      <c r="G15" s="5">
        <v>2</v>
      </c>
      <c r="H15" s="5">
        <v>2</v>
      </c>
      <c r="I15" s="51">
        <f t="shared" si="1"/>
        <v>6</v>
      </c>
      <c r="J15" s="2">
        <v>60000</v>
      </c>
      <c r="K15" s="2"/>
      <c r="L15" s="2"/>
      <c r="M15" s="2">
        <v>10000</v>
      </c>
      <c r="N15" s="2">
        <v>50000</v>
      </c>
      <c r="O15" s="2"/>
      <c r="P15" s="10">
        <v>60000</v>
      </c>
      <c r="Q15" s="10">
        <v>45000</v>
      </c>
      <c r="R15" s="56">
        <f t="shared" si="2"/>
        <v>225000</v>
      </c>
      <c r="S15" s="59" t="s">
        <v>17</v>
      </c>
    </row>
    <row r="16" spans="1:19" x14ac:dyDescent="0.4">
      <c r="A16" s="13">
        <v>2</v>
      </c>
      <c r="B16" s="4"/>
      <c r="C16" s="4"/>
      <c r="D16" s="4"/>
      <c r="E16" s="47">
        <f t="shared" si="0"/>
        <v>0</v>
      </c>
      <c r="F16" s="5">
        <v>2</v>
      </c>
      <c r="G16" s="5">
        <v>2</v>
      </c>
      <c r="H16" s="5">
        <v>3</v>
      </c>
      <c r="I16" s="51">
        <f t="shared" si="1"/>
        <v>7</v>
      </c>
      <c r="J16" s="2">
        <v>60000</v>
      </c>
      <c r="K16" s="2"/>
      <c r="L16" s="2"/>
      <c r="M16" s="2">
        <v>10000</v>
      </c>
      <c r="N16" s="2">
        <v>75000</v>
      </c>
      <c r="O16" s="2"/>
      <c r="P16" s="10">
        <v>60000</v>
      </c>
      <c r="Q16" s="10">
        <v>45000</v>
      </c>
      <c r="R16" s="56">
        <f t="shared" si="2"/>
        <v>250000</v>
      </c>
      <c r="S16" s="59" t="s">
        <v>17</v>
      </c>
    </row>
    <row r="17" spans="1:19" x14ac:dyDescent="0.4">
      <c r="A17" s="13">
        <v>2</v>
      </c>
      <c r="B17" s="4"/>
      <c r="C17" s="4"/>
      <c r="D17" s="4"/>
      <c r="E17" s="47">
        <f t="shared" si="0"/>
        <v>0</v>
      </c>
      <c r="F17" s="5">
        <v>2</v>
      </c>
      <c r="G17" s="5">
        <v>2</v>
      </c>
      <c r="H17" s="5">
        <v>4</v>
      </c>
      <c r="I17" s="51">
        <f t="shared" si="1"/>
        <v>8</v>
      </c>
      <c r="J17" s="2">
        <v>60000</v>
      </c>
      <c r="K17" s="2"/>
      <c r="L17" s="2"/>
      <c r="M17" s="2">
        <v>10000</v>
      </c>
      <c r="N17" s="2">
        <v>100000</v>
      </c>
      <c r="O17" s="2"/>
      <c r="P17" s="10">
        <v>60000</v>
      </c>
      <c r="Q17" s="10">
        <v>45000</v>
      </c>
      <c r="R17" s="56">
        <f t="shared" si="2"/>
        <v>275000</v>
      </c>
      <c r="S17" s="59" t="s">
        <v>17</v>
      </c>
    </row>
    <row r="18" spans="1:19" x14ac:dyDescent="0.4">
      <c r="A18" s="13">
        <v>2</v>
      </c>
      <c r="B18" s="4"/>
      <c r="C18" s="4"/>
      <c r="D18" s="4"/>
      <c r="E18" s="47">
        <f t="shared" si="0"/>
        <v>0</v>
      </c>
      <c r="F18" s="5">
        <v>2</v>
      </c>
      <c r="G18" s="5">
        <v>2</v>
      </c>
      <c r="H18" s="5">
        <v>5</v>
      </c>
      <c r="I18" s="51">
        <f t="shared" si="1"/>
        <v>9</v>
      </c>
      <c r="J18" s="2">
        <v>60000</v>
      </c>
      <c r="K18" s="2"/>
      <c r="L18" s="2"/>
      <c r="M18" s="2">
        <v>10000</v>
      </c>
      <c r="N18" s="2">
        <v>125000</v>
      </c>
      <c r="O18" s="2"/>
      <c r="P18" s="10">
        <v>60000</v>
      </c>
      <c r="Q18" s="10">
        <v>45000</v>
      </c>
      <c r="R18" s="56">
        <f t="shared" si="2"/>
        <v>300000</v>
      </c>
      <c r="S18" s="59" t="s">
        <v>17</v>
      </c>
    </row>
    <row r="19" spans="1:19" x14ac:dyDescent="0.4">
      <c r="A19" s="13">
        <v>2</v>
      </c>
      <c r="B19" s="4"/>
      <c r="C19" s="4"/>
      <c r="D19" s="4"/>
      <c r="E19" s="47">
        <f t="shared" si="0"/>
        <v>0</v>
      </c>
      <c r="F19" s="5">
        <v>2</v>
      </c>
      <c r="G19" s="5">
        <v>2</v>
      </c>
      <c r="H19" s="5">
        <v>6</v>
      </c>
      <c r="I19" s="51">
        <f t="shared" si="1"/>
        <v>10</v>
      </c>
      <c r="J19" s="2">
        <v>60000</v>
      </c>
      <c r="K19" s="2"/>
      <c r="L19" s="2"/>
      <c r="M19" s="2">
        <v>10000</v>
      </c>
      <c r="N19" s="2">
        <v>150000</v>
      </c>
      <c r="O19" s="2"/>
      <c r="P19" s="10">
        <v>60000</v>
      </c>
      <c r="Q19" s="10">
        <v>45000</v>
      </c>
      <c r="R19" s="56">
        <f t="shared" si="2"/>
        <v>325000</v>
      </c>
      <c r="S19" s="59" t="s">
        <v>17</v>
      </c>
    </row>
    <row r="20" spans="1:19" x14ac:dyDescent="0.4">
      <c r="A20" s="13">
        <v>2</v>
      </c>
      <c r="B20" s="4">
        <v>1</v>
      </c>
      <c r="C20" s="4"/>
      <c r="D20" s="4"/>
      <c r="E20" s="47">
        <f t="shared" si="0"/>
        <v>1</v>
      </c>
      <c r="F20" s="5">
        <v>1</v>
      </c>
      <c r="G20" s="5"/>
      <c r="H20" s="5"/>
      <c r="I20" s="51">
        <f t="shared" si="1"/>
        <v>1</v>
      </c>
      <c r="J20" s="2">
        <v>60000</v>
      </c>
      <c r="K20" s="2"/>
      <c r="L20" s="2"/>
      <c r="M20" s="2"/>
      <c r="N20" s="2"/>
      <c r="O20" s="2"/>
      <c r="P20" s="10"/>
      <c r="Q20" s="10"/>
      <c r="R20" s="56">
        <f t="shared" si="2"/>
        <v>60000</v>
      </c>
      <c r="S20" s="59"/>
    </row>
    <row r="21" spans="1:19" x14ac:dyDescent="0.4">
      <c r="A21" s="13">
        <v>2</v>
      </c>
      <c r="B21" s="4">
        <v>1</v>
      </c>
      <c r="C21" s="4"/>
      <c r="D21" s="4"/>
      <c r="E21" s="47">
        <f t="shared" si="0"/>
        <v>1</v>
      </c>
      <c r="F21" s="5">
        <v>1</v>
      </c>
      <c r="G21" s="5">
        <v>1</v>
      </c>
      <c r="H21" s="5"/>
      <c r="I21" s="51">
        <f t="shared" si="1"/>
        <v>2</v>
      </c>
      <c r="J21" s="2">
        <v>60000</v>
      </c>
      <c r="K21" s="2"/>
      <c r="L21" s="2"/>
      <c r="M21" s="2">
        <v>5000</v>
      </c>
      <c r="N21" s="2"/>
      <c r="O21" s="2"/>
      <c r="P21" s="10"/>
      <c r="Q21" s="10"/>
      <c r="R21" s="56">
        <f t="shared" si="2"/>
        <v>65000</v>
      </c>
      <c r="S21" s="59"/>
    </row>
    <row r="22" spans="1:19" x14ac:dyDescent="0.4">
      <c r="A22" s="13">
        <v>2</v>
      </c>
      <c r="B22" s="4">
        <v>1</v>
      </c>
      <c r="C22" s="4"/>
      <c r="D22" s="4"/>
      <c r="E22" s="47">
        <f t="shared" si="0"/>
        <v>1</v>
      </c>
      <c r="F22" s="5">
        <v>1</v>
      </c>
      <c r="G22" s="5">
        <v>2</v>
      </c>
      <c r="H22" s="5"/>
      <c r="I22" s="51">
        <f t="shared" si="1"/>
        <v>3</v>
      </c>
      <c r="J22" s="2">
        <v>60000</v>
      </c>
      <c r="K22" s="2"/>
      <c r="L22" s="2"/>
      <c r="M22" s="2">
        <v>10000</v>
      </c>
      <c r="N22" s="2"/>
      <c r="O22" s="2"/>
      <c r="P22" s="10">
        <v>60000</v>
      </c>
      <c r="Q22" s="10">
        <v>45000</v>
      </c>
      <c r="R22" s="56">
        <f t="shared" si="2"/>
        <v>175000</v>
      </c>
      <c r="S22" s="59" t="s">
        <v>17</v>
      </c>
    </row>
    <row r="23" spans="1:19" x14ac:dyDescent="0.4">
      <c r="A23" s="13">
        <v>2</v>
      </c>
      <c r="B23" s="4">
        <v>1</v>
      </c>
      <c r="C23" s="4"/>
      <c r="D23" s="4"/>
      <c r="E23" s="47">
        <f t="shared" si="0"/>
        <v>1</v>
      </c>
      <c r="F23" s="5">
        <v>1</v>
      </c>
      <c r="G23" s="5">
        <v>2</v>
      </c>
      <c r="H23" s="5">
        <v>1</v>
      </c>
      <c r="I23" s="51">
        <f t="shared" si="1"/>
        <v>4</v>
      </c>
      <c r="J23" s="2">
        <v>60000</v>
      </c>
      <c r="K23" s="2"/>
      <c r="L23" s="2"/>
      <c r="M23" s="2">
        <v>10000</v>
      </c>
      <c r="N23" s="2">
        <v>25000</v>
      </c>
      <c r="O23" s="2"/>
      <c r="P23" s="10">
        <v>60000</v>
      </c>
      <c r="Q23" s="10">
        <v>45000</v>
      </c>
      <c r="R23" s="56">
        <f t="shared" si="2"/>
        <v>200000</v>
      </c>
      <c r="S23" s="59" t="s">
        <v>17</v>
      </c>
    </row>
    <row r="24" spans="1:19" x14ac:dyDescent="0.4">
      <c r="A24" s="13">
        <v>2</v>
      </c>
      <c r="B24" s="4">
        <v>1</v>
      </c>
      <c r="C24" s="4"/>
      <c r="D24" s="4"/>
      <c r="E24" s="47">
        <f t="shared" si="0"/>
        <v>1</v>
      </c>
      <c r="F24" s="5">
        <v>1</v>
      </c>
      <c r="G24" s="5">
        <v>2</v>
      </c>
      <c r="H24" s="5">
        <v>2</v>
      </c>
      <c r="I24" s="51">
        <f t="shared" si="1"/>
        <v>5</v>
      </c>
      <c r="J24" s="2">
        <v>60000</v>
      </c>
      <c r="K24" s="2"/>
      <c r="L24" s="2"/>
      <c r="M24" s="2">
        <v>10000</v>
      </c>
      <c r="N24" s="2">
        <v>50000</v>
      </c>
      <c r="O24" s="2"/>
      <c r="P24" s="10">
        <v>60000</v>
      </c>
      <c r="Q24" s="10">
        <v>45000</v>
      </c>
      <c r="R24" s="56">
        <f t="shared" si="2"/>
        <v>225000</v>
      </c>
      <c r="S24" s="59" t="s">
        <v>17</v>
      </c>
    </row>
    <row r="25" spans="1:19" x14ac:dyDescent="0.4">
      <c r="A25" s="13">
        <v>2</v>
      </c>
      <c r="B25" s="4">
        <v>1</v>
      </c>
      <c r="C25" s="4"/>
      <c r="D25" s="4"/>
      <c r="E25" s="47">
        <f t="shared" si="0"/>
        <v>1</v>
      </c>
      <c r="F25" s="5">
        <v>1</v>
      </c>
      <c r="G25" s="5">
        <v>2</v>
      </c>
      <c r="H25" s="5">
        <v>3</v>
      </c>
      <c r="I25" s="51">
        <f t="shared" si="1"/>
        <v>6</v>
      </c>
      <c r="J25" s="2">
        <v>60000</v>
      </c>
      <c r="K25" s="2"/>
      <c r="L25" s="2"/>
      <c r="M25" s="2">
        <v>10000</v>
      </c>
      <c r="N25" s="2">
        <v>75000</v>
      </c>
      <c r="O25" s="2"/>
      <c r="P25" s="10">
        <v>60000</v>
      </c>
      <c r="Q25" s="10">
        <v>45000</v>
      </c>
      <c r="R25" s="56">
        <f t="shared" si="2"/>
        <v>250000</v>
      </c>
      <c r="S25" s="59" t="s">
        <v>17</v>
      </c>
    </row>
    <row r="26" spans="1:19" x14ac:dyDescent="0.4">
      <c r="A26" s="13">
        <v>2</v>
      </c>
      <c r="B26" s="4">
        <v>1</v>
      </c>
      <c r="C26" s="4"/>
      <c r="D26" s="4"/>
      <c r="E26" s="47">
        <f t="shared" si="0"/>
        <v>1</v>
      </c>
      <c r="F26" s="5">
        <v>1</v>
      </c>
      <c r="G26" s="5">
        <v>2</v>
      </c>
      <c r="H26" s="5">
        <v>4</v>
      </c>
      <c r="I26" s="51">
        <f t="shared" si="1"/>
        <v>7</v>
      </c>
      <c r="J26" s="2">
        <v>60000</v>
      </c>
      <c r="K26" s="2"/>
      <c r="L26" s="2"/>
      <c r="M26" s="2">
        <v>10000</v>
      </c>
      <c r="N26" s="2">
        <v>100000</v>
      </c>
      <c r="O26" s="2"/>
      <c r="P26" s="10">
        <v>60000</v>
      </c>
      <c r="Q26" s="10">
        <v>45000</v>
      </c>
      <c r="R26" s="56">
        <f t="shared" si="2"/>
        <v>275000</v>
      </c>
      <c r="S26" s="59" t="s">
        <v>17</v>
      </c>
    </row>
    <row r="27" spans="1:19" x14ac:dyDescent="0.4">
      <c r="A27" s="13">
        <v>2</v>
      </c>
      <c r="B27" s="4">
        <v>1</v>
      </c>
      <c r="C27" s="4"/>
      <c r="D27" s="4"/>
      <c r="E27" s="47">
        <f t="shared" si="0"/>
        <v>1</v>
      </c>
      <c r="F27" s="5">
        <v>1</v>
      </c>
      <c r="G27" s="5">
        <v>2</v>
      </c>
      <c r="H27" s="5">
        <v>5</v>
      </c>
      <c r="I27" s="51">
        <f t="shared" si="1"/>
        <v>8</v>
      </c>
      <c r="J27" s="2">
        <v>60000</v>
      </c>
      <c r="K27" s="2"/>
      <c r="L27" s="2"/>
      <c r="M27" s="2">
        <v>10000</v>
      </c>
      <c r="N27" s="2">
        <v>125000</v>
      </c>
      <c r="O27" s="2"/>
      <c r="P27" s="10">
        <v>60000</v>
      </c>
      <c r="Q27" s="10">
        <v>45000</v>
      </c>
      <c r="R27" s="56">
        <f t="shared" si="2"/>
        <v>300000</v>
      </c>
      <c r="S27" s="59" t="s">
        <v>17</v>
      </c>
    </row>
    <row r="28" spans="1:19" x14ac:dyDescent="0.4">
      <c r="A28" s="13">
        <v>2</v>
      </c>
      <c r="B28" s="4">
        <v>1</v>
      </c>
      <c r="C28" s="4"/>
      <c r="D28" s="4"/>
      <c r="E28" s="47">
        <f t="shared" si="0"/>
        <v>1</v>
      </c>
      <c r="F28" s="5">
        <v>1</v>
      </c>
      <c r="G28" s="5">
        <v>2</v>
      </c>
      <c r="H28" s="5">
        <v>6</v>
      </c>
      <c r="I28" s="51">
        <f t="shared" si="1"/>
        <v>9</v>
      </c>
      <c r="J28" s="2">
        <v>60000</v>
      </c>
      <c r="K28" s="2"/>
      <c r="L28" s="2"/>
      <c r="M28" s="2">
        <v>10000</v>
      </c>
      <c r="N28" s="2">
        <v>150000</v>
      </c>
      <c r="O28" s="2"/>
      <c r="P28" s="10">
        <v>60000</v>
      </c>
      <c r="Q28" s="10">
        <v>45000</v>
      </c>
      <c r="R28" s="56">
        <f t="shared" si="2"/>
        <v>325000</v>
      </c>
      <c r="S28" s="59" t="s">
        <v>17</v>
      </c>
    </row>
    <row r="29" spans="1:19" x14ac:dyDescent="0.4">
      <c r="A29" s="13">
        <v>2</v>
      </c>
      <c r="B29" s="4">
        <v>2</v>
      </c>
      <c r="C29" s="4"/>
      <c r="D29" s="4"/>
      <c r="E29" s="47">
        <f t="shared" si="0"/>
        <v>2</v>
      </c>
      <c r="F29" s="5"/>
      <c r="G29" s="5">
        <v>1</v>
      </c>
      <c r="H29" s="5"/>
      <c r="I29" s="51">
        <f t="shared" si="1"/>
        <v>1</v>
      </c>
      <c r="J29" s="2">
        <v>60000</v>
      </c>
      <c r="K29" s="2"/>
      <c r="L29" s="2"/>
      <c r="M29" s="2">
        <v>5000</v>
      </c>
      <c r="N29" s="2"/>
      <c r="O29" s="2"/>
      <c r="P29" s="10"/>
      <c r="Q29" s="10"/>
      <c r="R29" s="56">
        <f t="shared" si="2"/>
        <v>65000</v>
      </c>
      <c r="S29" s="59"/>
    </row>
    <row r="30" spans="1:19" x14ac:dyDescent="0.4">
      <c r="A30" s="13">
        <v>2</v>
      </c>
      <c r="B30" s="4">
        <v>2</v>
      </c>
      <c r="C30" s="4"/>
      <c r="D30" s="4"/>
      <c r="E30" s="47">
        <f t="shared" si="0"/>
        <v>2</v>
      </c>
      <c r="F30" s="5"/>
      <c r="G30" s="5">
        <v>2</v>
      </c>
      <c r="H30" s="5"/>
      <c r="I30" s="51">
        <f t="shared" si="1"/>
        <v>2</v>
      </c>
      <c r="J30" s="2">
        <v>60000</v>
      </c>
      <c r="K30" s="2"/>
      <c r="L30" s="2"/>
      <c r="M30" s="2">
        <v>10000</v>
      </c>
      <c r="N30" s="2"/>
      <c r="O30" s="2"/>
      <c r="P30" s="10"/>
      <c r="Q30" s="10"/>
      <c r="R30" s="56">
        <f t="shared" si="2"/>
        <v>70000</v>
      </c>
      <c r="S30" s="59"/>
    </row>
    <row r="31" spans="1:19" x14ac:dyDescent="0.4">
      <c r="A31" s="13">
        <v>2</v>
      </c>
      <c r="B31" s="4">
        <v>2</v>
      </c>
      <c r="C31" s="4"/>
      <c r="D31" s="4"/>
      <c r="E31" s="47">
        <f t="shared" si="0"/>
        <v>2</v>
      </c>
      <c r="F31" s="5"/>
      <c r="G31" s="5">
        <v>2</v>
      </c>
      <c r="H31" s="5">
        <v>1</v>
      </c>
      <c r="I31" s="51">
        <f t="shared" si="1"/>
        <v>3</v>
      </c>
      <c r="J31" s="2">
        <v>60000</v>
      </c>
      <c r="K31" s="2"/>
      <c r="L31" s="2"/>
      <c r="M31" s="2">
        <v>10000</v>
      </c>
      <c r="N31" s="2">
        <v>25000</v>
      </c>
      <c r="O31" s="2"/>
      <c r="P31" s="10">
        <v>60000</v>
      </c>
      <c r="Q31" s="10">
        <v>45000</v>
      </c>
      <c r="R31" s="56">
        <f t="shared" si="2"/>
        <v>200000</v>
      </c>
      <c r="S31" s="59" t="s">
        <v>17</v>
      </c>
    </row>
    <row r="32" spans="1:19" x14ac:dyDescent="0.4">
      <c r="A32" s="13">
        <v>2</v>
      </c>
      <c r="B32" s="4">
        <v>2</v>
      </c>
      <c r="C32" s="4"/>
      <c r="D32" s="4"/>
      <c r="E32" s="47">
        <f t="shared" si="0"/>
        <v>2</v>
      </c>
      <c r="F32" s="5"/>
      <c r="G32" s="5">
        <v>2</v>
      </c>
      <c r="H32" s="5">
        <v>2</v>
      </c>
      <c r="I32" s="51">
        <f t="shared" si="1"/>
        <v>4</v>
      </c>
      <c r="J32" s="2">
        <v>60000</v>
      </c>
      <c r="K32" s="2"/>
      <c r="L32" s="2"/>
      <c r="M32" s="2">
        <v>10000</v>
      </c>
      <c r="N32" s="2">
        <v>50000</v>
      </c>
      <c r="O32" s="2"/>
      <c r="P32" s="10">
        <v>60000</v>
      </c>
      <c r="Q32" s="10">
        <v>45000</v>
      </c>
      <c r="R32" s="56">
        <f t="shared" si="2"/>
        <v>225000</v>
      </c>
      <c r="S32" s="59" t="s">
        <v>17</v>
      </c>
    </row>
    <row r="33" spans="1:19" x14ac:dyDescent="0.4">
      <c r="A33" s="13">
        <v>2</v>
      </c>
      <c r="B33" s="4">
        <v>2</v>
      </c>
      <c r="C33" s="4"/>
      <c r="D33" s="4"/>
      <c r="E33" s="47">
        <f t="shared" si="0"/>
        <v>2</v>
      </c>
      <c r="F33" s="5"/>
      <c r="G33" s="5">
        <v>2</v>
      </c>
      <c r="H33" s="5">
        <v>3</v>
      </c>
      <c r="I33" s="51">
        <f t="shared" si="1"/>
        <v>5</v>
      </c>
      <c r="J33" s="2">
        <v>60000</v>
      </c>
      <c r="K33" s="2"/>
      <c r="L33" s="2"/>
      <c r="M33" s="2">
        <v>10000</v>
      </c>
      <c r="N33" s="2">
        <v>75000</v>
      </c>
      <c r="O33" s="2"/>
      <c r="P33" s="10">
        <v>60000</v>
      </c>
      <c r="Q33" s="10">
        <v>45000</v>
      </c>
      <c r="R33" s="56">
        <f t="shared" si="2"/>
        <v>250000</v>
      </c>
      <c r="S33" s="59" t="s">
        <v>17</v>
      </c>
    </row>
    <row r="34" spans="1:19" x14ac:dyDescent="0.4">
      <c r="A34" s="13">
        <v>2</v>
      </c>
      <c r="B34" s="4">
        <v>2</v>
      </c>
      <c r="C34" s="4"/>
      <c r="D34" s="4"/>
      <c r="E34" s="47">
        <f t="shared" si="0"/>
        <v>2</v>
      </c>
      <c r="F34" s="5"/>
      <c r="G34" s="5">
        <v>2</v>
      </c>
      <c r="H34" s="5">
        <v>4</v>
      </c>
      <c r="I34" s="51">
        <f t="shared" si="1"/>
        <v>6</v>
      </c>
      <c r="J34" s="2">
        <v>60000</v>
      </c>
      <c r="K34" s="2"/>
      <c r="L34" s="2"/>
      <c r="M34" s="2">
        <v>10000</v>
      </c>
      <c r="N34" s="2">
        <v>100000</v>
      </c>
      <c r="O34" s="2"/>
      <c r="P34" s="10">
        <v>60000</v>
      </c>
      <c r="Q34" s="10">
        <v>45000</v>
      </c>
      <c r="R34" s="56">
        <f t="shared" si="2"/>
        <v>275000</v>
      </c>
      <c r="S34" s="59" t="s">
        <v>17</v>
      </c>
    </row>
    <row r="35" spans="1:19" x14ac:dyDescent="0.4">
      <c r="A35" s="13">
        <v>2</v>
      </c>
      <c r="B35" s="4">
        <v>2</v>
      </c>
      <c r="C35" s="4"/>
      <c r="D35" s="4"/>
      <c r="E35" s="47">
        <f t="shared" si="0"/>
        <v>2</v>
      </c>
      <c r="F35" s="5"/>
      <c r="G35" s="5">
        <v>2</v>
      </c>
      <c r="H35" s="5">
        <v>5</v>
      </c>
      <c r="I35" s="51">
        <f t="shared" si="1"/>
        <v>7</v>
      </c>
      <c r="J35" s="2">
        <v>60000</v>
      </c>
      <c r="K35" s="2"/>
      <c r="L35" s="2"/>
      <c r="M35" s="2">
        <v>10000</v>
      </c>
      <c r="N35" s="2">
        <v>125000</v>
      </c>
      <c r="O35" s="2"/>
      <c r="P35" s="10">
        <v>60000</v>
      </c>
      <c r="Q35" s="10">
        <v>45000</v>
      </c>
      <c r="R35" s="56">
        <f t="shared" si="2"/>
        <v>300000</v>
      </c>
      <c r="S35" s="59" t="s">
        <v>17</v>
      </c>
    </row>
    <row r="36" spans="1:19" x14ac:dyDescent="0.4">
      <c r="A36" s="13">
        <v>2</v>
      </c>
      <c r="B36" s="4">
        <v>2</v>
      </c>
      <c r="C36" s="4"/>
      <c r="D36" s="4"/>
      <c r="E36" s="47">
        <f t="shared" si="0"/>
        <v>2</v>
      </c>
      <c r="F36" s="5"/>
      <c r="G36" s="5">
        <v>2</v>
      </c>
      <c r="H36" s="5">
        <v>6</v>
      </c>
      <c r="I36" s="51">
        <f t="shared" si="1"/>
        <v>8</v>
      </c>
      <c r="J36" s="2">
        <v>60000</v>
      </c>
      <c r="K36" s="2"/>
      <c r="L36" s="2"/>
      <c r="M36" s="2">
        <v>10000</v>
      </c>
      <c r="N36" s="2">
        <v>150000</v>
      </c>
      <c r="O36" s="2"/>
      <c r="P36" s="10">
        <v>60000</v>
      </c>
      <c r="Q36" s="10">
        <v>45000</v>
      </c>
      <c r="R36" s="56">
        <f t="shared" si="2"/>
        <v>325000</v>
      </c>
      <c r="S36" s="59" t="s">
        <v>17</v>
      </c>
    </row>
    <row r="37" spans="1:19" x14ac:dyDescent="0.4">
      <c r="A37" s="13">
        <v>2</v>
      </c>
      <c r="B37" s="4">
        <v>2</v>
      </c>
      <c r="C37" s="4">
        <v>1</v>
      </c>
      <c r="D37" s="4"/>
      <c r="E37" s="47">
        <f t="shared" si="0"/>
        <v>3</v>
      </c>
      <c r="F37" s="5"/>
      <c r="G37" s="5">
        <v>1</v>
      </c>
      <c r="H37" s="5"/>
      <c r="I37" s="51">
        <f t="shared" si="1"/>
        <v>1</v>
      </c>
      <c r="J37" s="2">
        <v>60000</v>
      </c>
      <c r="K37" s="2">
        <v>5000</v>
      </c>
      <c r="L37" s="2"/>
      <c r="M37" s="2">
        <v>5000</v>
      </c>
      <c r="N37" s="2"/>
      <c r="O37" s="2"/>
      <c r="P37" s="10"/>
      <c r="Q37" s="10"/>
      <c r="R37" s="56">
        <f t="shared" si="2"/>
        <v>70000</v>
      </c>
      <c r="S37" s="59"/>
    </row>
    <row r="38" spans="1:19" x14ac:dyDescent="0.4">
      <c r="A38" s="13">
        <v>2</v>
      </c>
      <c r="B38" s="4">
        <v>2</v>
      </c>
      <c r="C38" s="4">
        <v>1</v>
      </c>
      <c r="D38" s="4"/>
      <c r="E38" s="47">
        <f t="shared" si="0"/>
        <v>3</v>
      </c>
      <c r="F38" s="5"/>
      <c r="G38" s="5">
        <v>1</v>
      </c>
      <c r="H38" s="5">
        <v>1</v>
      </c>
      <c r="I38" s="51">
        <f t="shared" si="1"/>
        <v>2</v>
      </c>
      <c r="J38" s="2">
        <v>60000</v>
      </c>
      <c r="K38" s="2">
        <v>5000</v>
      </c>
      <c r="L38" s="2"/>
      <c r="M38" s="2">
        <v>5000</v>
      </c>
      <c r="N38" s="2">
        <v>25000</v>
      </c>
      <c r="O38" s="2"/>
      <c r="P38" s="10"/>
      <c r="Q38" s="10"/>
      <c r="R38" s="56">
        <f t="shared" si="2"/>
        <v>95000</v>
      </c>
      <c r="S38" s="59"/>
    </row>
    <row r="39" spans="1:19" x14ac:dyDescent="0.4">
      <c r="A39" s="13">
        <v>2</v>
      </c>
      <c r="B39" s="4">
        <v>2</v>
      </c>
      <c r="C39" s="4">
        <v>1</v>
      </c>
      <c r="D39" s="4"/>
      <c r="E39" s="47">
        <f t="shared" si="0"/>
        <v>3</v>
      </c>
      <c r="F39" s="5"/>
      <c r="G39" s="5">
        <v>1</v>
      </c>
      <c r="H39" s="5">
        <v>2</v>
      </c>
      <c r="I39" s="51">
        <f t="shared" si="1"/>
        <v>3</v>
      </c>
      <c r="J39" s="2">
        <v>60000</v>
      </c>
      <c r="K39" s="2">
        <v>5000</v>
      </c>
      <c r="L39" s="2"/>
      <c r="M39" s="2">
        <v>5000</v>
      </c>
      <c r="N39" s="2">
        <v>50000</v>
      </c>
      <c r="O39" s="2"/>
      <c r="P39" s="10">
        <v>60000</v>
      </c>
      <c r="Q39" s="10">
        <v>45000</v>
      </c>
      <c r="R39" s="56">
        <f t="shared" si="2"/>
        <v>225000</v>
      </c>
      <c r="S39" s="59" t="s">
        <v>17</v>
      </c>
    </row>
    <row r="40" spans="1:19" x14ac:dyDescent="0.4">
      <c r="A40" s="13">
        <v>2</v>
      </c>
      <c r="B40" s="4">
        <v>2</v>
      </c>
      <c r="C40" s="4">
        <v>1</v>
      </c>
      <c r="D40" s="4"/>
      <c r="E40" s="47">
        <f t="shared" si="0"/>
        <v>3</v>
      </c>
      <c r="F40" s="5"/>
      <c r="G40" s="5">
        <v>1</v>
      </c>
      <c r="H40" s="5">
        <v>3</v>
      </c>
      <c r="I40" s="51">
        <f t="shared" si="1"/>
        <v>4</v>
      </c>
      <c r="J40" s="2">
        <v>60000</v>
      </c>
      <c r="K40" s="2">
        <v>5000</v>
      </c>
      <c r="L40" s="2"/>
      <c r="M40" s="2">
        <v>5000</v>
      </c>
      <c r="N40" s="2">
        <v>75000</v>
      </c>
      <c r="O40" s="2"/>
      <c r="P40" s="10">
        <v>60000</v>
      </c>
      <c r="Q40" s="10">
        <v>45000</v>
      </c>
      <c r="R40" s="56">
        <f t="shared" si="2"/>
        <v>250000</v>
      </c>
      <c r="S40" s="59" t="s">
        <v>17</v>
      </c>
    </row>
    <row r="41" spans="1:19" x14ac:dyDescent="0.4">
      <c r="A41" s="13">
        <v>2</v>
      </c>
      <c r="B41" s="4">
        <v>2</v>
      </c>
      <c r="C41" s="4">
        <v>1</v>
      </c>
      <c r="D41" s="4"/>
      <c r="E41" s="47">
        <f t="shared" si="0"/>
        <v>3</v>
      </c>
      <c r="F41" s="5"/>
      <c r="G41" s="5">
        <v>1</v>
      </c>
      <c r="H41" s="5">
        <v>4</v>
      </c>
      <c r="I41" s="51">
        <f t="shared" si="1"/>
        <v>5</v>
      </c>
      <c r="J41" s="2">
        <v>60000</v>
      </c>
      <c r="K41" s="2">
        <v>5000</v>
      </c>
      <c r="L41" s="2"/>
      <c r="M41" s="2">
        <v>5000</v>
      </c>
      <c r="N41" s="2">
        <v>100000</v>
      </c>
      <c r="O41" s="2"/>
      <c r="P41" s="10">
        <v>60000</v>
      </c>
      <c r="Q41" s="10">
        <v>45000</v>
      </c>
      <c r="R41" s="56">
        <f t="shared" si="2"/>
        <v>275000</v>
      </c>
      <c r="S41" s="59" t="s">
        <v>17</v>
      </c>
    </row>
    <row r="42" spans="1:19" x14ac:dyDescent="0.4">
      <c r="A42" s="13">
        <v>2</v>
      </c>
      <c r="B42" s="4">
        <v>2</v>
      </c>
      <c r="C42" s="4">
        <v>1</v>
      </c>
      <c r="D42" s="4"/>
      <c r="E42" s="47">
        <f t="shared" si="0"/>
        <v>3</v>
      </c>
      <c r="F42" s="5"/>
      <c r="G42" s="5">
        <v>1</v>
      </c>
      <c r="H42" s="5">
        <v>5</v>
      </c>
      <c r="I42" s="51">
        <f t="shared" si="1"/>
        <v>6</v>
      </c>
      <c r="J42" s="2">
        <v>60000</v>
      </c>
      <c r="K42" s="2">
        <v>5000</v>
      </c>
      <c r="L42" s="2"/>
      <c r="M42" s="2">
        <v>5000</v>
      </c>
      <c r="N42" s="2">
        <v>125000</v>
      </c>
      <c r="O42" s="2"/>
      <c r="P42" s="10">
        <v>60000</v>
      </c>
      <c r="Q42" s="10">
        <v>45000</v>
      </c>
      <c r="R42" s="56">
        <f t="shared" si="2"/>
        <v>300000</v>
      </c>
      <c r="S42" s="59" t="s">
        <v>17</v>
      </c>
    </row>
    <row r="43" spans="1:19" x14ac:dyDescent="0.4">
      <c r="A43" s="13">
        <v>2</v>
      </c>
      <c r="B43" s="4">
        <v>2</v>
      </c>
      <c r="C43" s="4">
        <v>1</v>
      </c>
      <c r="D43" s="4"/>
      <c r="E43" s="47">
        <f t="shared" si="0"/>
        <v>3</v>
      </c>
      <c r="F43" s="5"/>
      <c r="G43" s="5">
        <v>1</v>
      </c>
      <c r="H43" s="5">
        <v>6</v>
      </c>
      <c r="I43" s="51">
        <f t="shared" si="1"/>
        <v>7</v>
      </c>
      <c r="J43" s="2">
        <v>60000</v>
      </c>
      <c r="K43" s="2">
        <v>5000</v>
      </c>
      <c r="L43" s="2"/>
      <c r="M43" s="2">
        <v>5000</v>
      </c>
      <c r="N43" s="2">
        <v>150000</v>
      </c>
      <c r="O43" s="2"/>
      <c r="P43" s="10">
        <v>60000</v>
      </c>
      <c r="Q43" s="10">
        <v>45000</v>
      </c>
      <c r="R43" s="56">
        <f t="shared" si="2"/>
        <v>325000</v>
      </c>
      <c r="S43" s="59" t="s">
        <v>17</v>
      </c>
    </row>
    <row r="44" spans="1:19" x14ac:dyDescent="0.4">
      <c r="A44" s="13">
        <v>2</v>
      </c>
      <c r="B44" s="4">
        <v>2</v>
      </c>
      <c r="C44" s="4">
        <v>2</v>
      </c>
      <c r="D44" s="4"/>
      <c r="E44" s="47">
        <f t="shared" si="0"/>
        <v>4</v>
      </c>
      <c r="F44" s="5"/>
      <c r="G44" s="5"/>
      <c r="H44" s="5">
        <v>1</v>
      </c>
      <c r="I44" s="51">
        <f t="shared" si="1"/>
        <v>1</v>
      </c>
      <c r="J44" s="2">
        <v>60000</v>
      </c>
      <c r="K44" s="2">
        <v>10000</v>
      </c>
      <c r="L44" s="2"/>
      <c r="M44" s="2"/>
      <c r="N44" s="2">
        <v>25000</v>
      </c>
      <c r="O44" s="2"/>
      <c r="P44" s="10"/>
      <c r="Q44" s="10"/>
      <c r="R44" s="56">
        <f t="shared" si="2"/>
        <v>95000</v>
      </c>
      <c r="S44" s="59"/>
    </row>
    <row r="45" spans="1:19" x14ac:dyDescent="0.4">
      <c r="A45" s="13">
        <v>2</v>
      </c>
      <c r="B45" s="4">
        <v>2</v>
      </c>
      <c r="C45" s="4">
        <v>2</v>
      </c>
      <c r="D45" s="4"/>
      <c r="E45" s="47">
        <f t="shared" si="0"/>
        <v>4</v>
      </c>
      <c r="F45" s="5"/>
      <c r="G45" s="5"/>
      <c r="H45" s="5">
        <v>2</v>
      </c>
      <c r="I45" s="51">
        <f t="shared" si="1"/>
        <v>2</v>
      </c>
      <c r="J45" s="2">
        <v>60000</v>
      </c>
      <c r="K45" s="2">
        <v>10000</v>
      </c>
      <c r="L45" s="2"/>
      <c r="M45" s="2"/>
      <c r="N45" s="2">
        <v>50000</v>
      </c>
      <c r="O45" s="2"/>
      <c r="P45" s="10"/>
      <c r="Q45" s="10"/>
      <c r="R45" s="56">
        <f t="shared" si="2"/>
        <v>120000</v>
      </c>
      <c r="S45" s="59"/>
    </row>
    <row r="46" spans="1:19" x14ac:dyDescent="0.4">
      <c r="A46" s="13">
        <v>2</v>
      </c>
      <c r="B46" s="4">
        <v>2</v>
      </c>
      <c r="C46" s="4">
        <v>2</v>
      </c>
      <c r="D46" s="4"/>
      <c r="E46" s="47">
        <f t="shared" si="0"/>
        <v>4</v>
      </c>
      <c r="F46" s="5"/>
      <c r="G46" s="5"/>
      <c r="H46" s="5">
        <v>3</v>
      </c>
      <c r="I46" s="51">
        <f t="shared" si="1"/>
        <v>3</v>
      </c>
      <c r="J46" s="2">
        <v>60000</v>
      </c>
      <c r="K46" s="2">
        <v>10000</v>
      </c>
      <c r="L46" s="2"/>
      <c r="M46" s="2"/>
      <c r="N46" s="2">
        <v>75000</v>
      </c>
      <c r="O46" s="2"/>
      <c r="P46" s="10">
        <v>60000</v>
      </c>
      <c r="Q46" s="10">
        <v>45000</v>
      </c>
      <c r="R46" s="56">
        <f t="shared" si="2"/>
        <v>250000</v>
      </c>
      <c r="S46" s="59" t="s">
        <v>17</v>
      </c>
    </row>
    <row r="47" spans="1:19" x14ac:dyDescent="0.4">
      <c r="A47" s="13">
        <v>2</v>
      </c>
      <c r="B47" s="4">
        <v>2</v>
      </c>
      <c r="C47" s="4">
        <v>2</v>
      </c>
      <c r="D47" s="4"/>
      <c r="E47" s="47">
        <f t="shared" si="0"/>
        <v>4</v>
      </c>
      <c r="F47" s="5"/>
      <c r="G47" s="5"/>
      <c r="H47" s="5">
        <v>4</v>
      </c>
      <c r="I47" s="51">
        <f t="shared" si="1"/>
        <v>4</v>
      </c>
      <c r="J47" s="2">
        <v>60000</v>
      </c>
      <c r="K47" s="2">
        <v>10000</v>
      </c>
      <c r="L47" s="2"/>
      <c r="M47" s="2"/>
      <c r="N47" s="2">
        <v>100000</v>
      </c>
      <c r="O47" s="2"/>
      <c r="P47" s="10">
        <v>60000</v>
      </c>
      <c r="Q47" s="10">
        <v>45000</v>
      </c>
      <c r="R47" s="56">
        <f t="shared" si="2"/>
        <v>275000</v>
      </c>
      <c r="S47" s="59" t="s">
        <v>17</v>
      </c>
    </row>
    <row r="48" spans="1:19" x14ac:dyDescent="0.4">
      <c r="A48" s="13">
        <v>2</v>
      </c>
      <c r="B48" s="4">
        <v>2</v>
      </c>
      <c r="C48" s="4">
        <v>2</v>
      </c>
      <c r="D48" s="4"/>
      <c r="E48" s="47">
        <f t="shared" si="0"/>
        <v>4</v>
      </c>
      <c r="F48" s="5"/>
      <c r="G48" s="5"/>
      <c r="H48" s="5">
        <v>5</v>
      </c>
      <c r="I48" s="51">
        <f t="shared" si="1"/>
        <v>5</v>
      </c>
      <c r="J48" s="2">
        <v>60000</v>
      </c>
      <c r="K48" s="2">
        <v>10000</v>
      </c>
      <c r="L48" s="1"/>
      <c r="M48" s="1"/>
      <c r="N48" s="2">
        <v>125000</v>
      </c>
      <c r="O48" s="1"/>
      <c r="P48" s="10">
        <v>60000</v>
      </c>
      <c r="Q48" s="10">
        <v>45000</v>
      </c>
      <c r="R48" s="56">
        <f t="shared" si="2"/>
        <v>300000</v>
      </c>
      <c r="S48" s="59" t="s">
        <v>17</v>
      </c>
    </row>
    <row r="49" spans="1:19" ht="19.5" thickBot="1" x14ac:dyDescent="0.45">
      <c r="A49" s="14">
        <v>2</v>
      </c>
      <c r="B49" s="15">
        <v>2</v>
      </c>
      <c r="C49" s="15">
        <v>2</v>
      </c>
      <c r="D49" s="15"/>
      <c r="E49" s="50">
        <f t="shared" si="0"/>
        <v>4</v>
      </c>
      <c r="F49" s="16"/>
      <c r="G49" s="16"/>
      <c r="H49" s="16">
        <v>6</v>
      </c>
      <c r="I49" s="54">
        <f t="shared" si="1"/>
        <v>6</v>
      </c>
      <c r="J49" s="17">
        <v>60000</v>
      </c>
      <c r="K49" s="17">
        <v>10000</v>
      </c>
      <c r="L49" s="18"/>
      <c r="M49" s="18"/>
      <c r="N49" s="17">
        <v>150000</v>
      </c>
      <c r="O49" s="18"/>
      <c r="P49" s="19">
        <v>60000</v>
      </c>
      <c r="Q49" s="19">
        <v>45000</v>
      </c>
      <c r="R49" s="56">
        <f t="shared" si="2"/>
        <v>325000</v>
      </c>
      <c r="S49" s="60" t="s">
        <v>17</v>
      </c>
    </row>
    <row r="50" spans="1:19" x14ac:dyDescent="0.4">
      <c r="P50" s="75" t="s">
        <v>18</v>
      </c>
      <c r="Q50" s="75"/>
      <c r="R50" s="75"/>
      <c r="S50" s="75"/>
    </row>
  </sheetData>
  <mergeCells count="1">
    <mergeCell ref="P50:S50"/>
  </mergeCells>
  <phoneticPr fontId="2"/>
  <pageMargins left="0.7" right="0.7" top="0.75" bottom="0.75" header="0.3" footer="0.3"/>
  <pageSetup paperSize="9" scale="50" fitToHeight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A7BF-4607-4651-8CB4-1E5E10D2487A}">
  <sheetPr>
    <pageSetUpPr fitToPage="1"/>
  </sheetPr>
  <dimension ref="A1:O28"/>
  <sheetViews>
    <sheetView workbookViewId="0">
      <pane ySplit="1" topLeftCell="A2" activePane="bottomLeft" state="frozen"/>
      <selection pane="bottomLeft" activeCell="E26" sqref="E26"/>
    </sheetView>
  </sheetViews>
  <sheetFormatPr defaultRowHeight="18.75" x14ac:dyDescent="0.4"/>
  <cols>
    <col min="1" max="3" width="14.5" customWidth="1"/>
    <col min="4" max="4" width="6.625" customWidth="1"/>
    <col min="5" max="5" width="14.5" customWidth="1"/>
    <col min="6" max="6" width="6.625" customWidth="1"/>
    <col min="7" max="14" width="14.5" customWidth="1"/>
    <col min="15" max="15" width="6.625" customWidth="1"/>
  </cols>
  <sheetData>
    <row r="1" spans="1:15" ht="19.5" thickBot="1" x14ac:dyDescent="0.45">
      <c r="A1" s="20" t="s">
        <v>9</v>
      </c>
      <c r="B1" s="21" t="s">
        <v>8</v>
      </c>
      <c r="C1" s="21" t="s">
        <v>1</v>
      </c>
      <c r="D1" s="21" t="s">
        <v>12</v>
      </c>
      <c r="E1" s="22" t="s">
        <v>3</v>
      </c>
      <c r="F1" s="22" t="s">
        <v>11</v>
      </c>
      <c r="G1" s="23" t="s">
        <v>4</v>
      </c>
      <c r="H1" s="23" t="s">
        <v>1</v>
      </c>
      <c r="I1" s="23" t="s">
        <v>3</v>
      </c>
      <c r="J1" s="23" t="s">
        <v>13</v>
      </c>
      <c r="K1" s="23" t="s">
        <v>5</v>
      </c>
      <c r="L1" s="24" t="s">
        <v>5</v>
      </c>
      <c r="M1" s="23" t="s">
        <v>10</v>
      </c>
      <c r="N1" s="25" t="s">
        <v>6</v>
      </c>
      <c r="O1" s="57" t="s">
        <v>16</v>
      </c>
    </row>
    <row r="2" spans="1:15" x14ac:dyDescent="0.4">
      <c r="A2" s="12">
        <v>1</v>
      </c>
      <c r="B2" s="6">
        <v>2</v>
      </c>
      <c r="C2" s="6"/>
      <c r="D2" s="47">
        <f t="shared" ref="D2:D14" si="0">SUM(B2:C2)</f>
        <v>2</v>
      </c>
      <c r="E2" s="7"/>
      <c r="F2" s="51">
        <f t="shared" ref="F2:F14" si="1">SUM(E2:E2)</f>
        <v>0</v>
      </c>
      <c r="G2" s="8">
        <v>15000</v>
      </c>
      <c r="H2" s="8"/>
      <c r="I2" s="8"/>
      <c r="J2" s="8"/>
      <c r="K2" s="8"/>
      <c r="L2" s="9"/>
      <c r="M2" s="8"/>
      <c r="N2" s="11">
        <f>SUM(G2:M2)</f>
        <v>15000</v>
      </c>
      <c r="O2" s="58"/>
    </row>
    <row r="3" spans="1:15" x14ac:dyDescent="0.4">
      <c r="A3" s="13">
        <v>1</v>
      </c>
      <c r="B3" s="4">
        <v>2</v>
      </c>
      <c r="C3" s="4">
        <v>1</v>
      </c>
      <c r="D3" s="47">
        <f t="shared" si="0"/>
        <v>3</v>
      </c>
      <c r="E3" s="5"/>
      <c r="F3" s="51">
        <f t="shared" si="1"/>
        <v>0</v>
      </c>
      <c r="G3" s="2">
        <v>15000</v>
      </c>
      <c r="H3" s="2">
        <v>25000</v>
      </c>
      <c r="I3" s="3"/>
      <c r="J3" s="2"/>
      <c r="K3" s="2"/>
      <c r="L3" s="10"/>
      <c r="M3" s="2"/>
      <c r="N3" s="11">
        <f t="shared" ref="N3:N14" si="2">SUM(G3:M3)</f>
        <v>40000</v>
      </c>
      <c r="O3" s="59"/>
    </row>
    <row r="4" spans="1:15" x14ac:dyDescent="0.4">
      <c r="A4" s="12">
        <v>1</v>
      </c>
      <c r="B4" s="4">
        <v>2</v>
      </c>
      <c r="C4" s="4">
        <v>2</v>
      </c>
      <c r="D4" s="47">
        <f t="shared" si="0"/>
        <v>4</v>
      </c>
      <c r="E4" s="5"/>
      <c r="F4" s="51">
        <f t="shared" si="1"/>
        <v>0</v>
      </c>
      <c r="G4" s="8">
        <v>15000</v>
      </c>
      <c r="H4" s="2">
        <v>50000</v>
      </c>
      <c r="I4" s="2"/>
      <c r="J4" s="2"/>
      <c r="K4" s="2"/>
      <c r="L4" s="10"/>
      <c r="M4" s="2"/>
      <c r="N4" s="11">
        <f t="shared" si="2"/>
        <v>65000</v>
      </c>
      <c r="O4" s="59"/>
    </row>
    <row r="5" spans="1:15" x14ac:dyDescent="0.4">
      <c r="A5" s="13">
        <v>1</v>
      </c>
      <c r="B5" s="4">
        <v>2</v>
      </c>
      <c r="C5" s="4">
        <v>3</v>
      </c>
      <c r="D5" s="47">
        <f t="shared" si="0"/>
        <v>5</v>
      </c>
      <c r="E5" s="5"/>
      <c r="F5" s="51">
        <f t="shared" si="1"/>
        <v>0</v>
      </c>
      <c r="G5" s="2">
        <v>15000</v>
      </c>
      <c r="H5" s="2">
        <v>75000</v>
      </c>
      <c r="I5" s="2"/>
      <c r="J5" s="2"/>
      <c r="K5" s="2"/>
      <c r="L5" s="10"/>
      <c r="M5" s="43"/>
      <c r="N5" s="11">
        <f t="shared" si="2"/>
        <v>90000</v>
      </c>
      <c r="O5" s="59"/>
    </row>
    <row r="6" spans="1:15" x14ac:dyDescent="0.4">
      <c r="A6" s="12">
        <v>1</v>
      </c>
      <c r="B6" s="4">
        <v>2</v>
      </c>
      <c r="C6" s="4">
        <v>4</v>
      </c>
      <c r="D6" s="47">
        <f t="shared" si="0"/>
        <v>6</v>
      </c>
      <c r="E6" s="5"/>
      <c r="F6" s="51">
        <f t="shared" si="1"/>
        <v>0</v>
      </c>
      <c r="G6" s="8">
        <v>15000</v>
      </c>
      <c r="H6" s="2">
        <v>100000</v>
      </c>
      <c r="I6" s="2"/>
      <c r="J6" s="2"/>
      <c r="K6" s="2"/>
      <c r="L6" s="10"/>
      <c r="M6" s="43"/>
      <c r="N6" s="11">
        <f t="shared" si="2"/>
        <v>115000</v>
      </c>
      <c r="O6" s="59"/>
    </row>
    <row r="7" spans="1:15" x14ac:dyDescent="0.4">
      <c r="A7" s="13">
        <v>1</v>
      </c>
      <c r="B7" s="4">
        <v>2</v>
      </c>
      <c r="C7" s="4">
        <v>5</v>
      </c>
      <c r="D7" s="47">
        <f t="shared" si="0"/>
        <v>7</v>
      </c>
      <c r="E7" s="5"/>
      <c r="F7" s="51">
        <f t="shared" si="1"/>
        <v>0</v>
      </c>
      <c r="G7" s="2">
        <v>15000</v>
      </c>
      <c r="H7" s="2">
        <v>125000</v>
      </c>
      <c r="I7" s="2"/>
      <c r="J7" s="2">
        <v>10000</v>
      </c>
      <c r="K7" s="2"/>
      <c r="L7" s="10"/>
      <c r="M7" s="77">
        <v>45000</v>
      </c>
      <c r="N7" s="11">
        <f t="shared" si="2"/>
        <v>195000</v>
      </c>
      <c r="O7" s="59" t="s">
        <v>17</v>
      </c>
    </row>
    <row r="8" spans="1:15" x14ac:dyDescent="0.4">
      <c r="A8" s="12">
        <v>1</v>
      </c>
      <c r="B8" s="4">
        <v>2</v>
      </c>
      <c r="C8" s="4">
        <v>6</v>
      </c>
      <c r="D8" s="47">
        <f t="shared" si="0"/>
        <v>8</v>
      </c>
      <c r="E8" s="5"/>
      <c r="F8" s="51">
        <f t="shared" si="1"/>
        <v>0</v>
      </c>
      <c r="G8" s="8">
        <v>15000</v>
      </c>
      <c r="H8" s="2">
        <v>150000</v>
      </c>
      <c r="I8" s="2"/>
      <c r="J8" s="2">
        <v>10000</v>
      </c>
      <c r="K8" s="2"/>
      <c r="L8" s="10"/>
      <c r="M8" s="77">
        <v>45000</v>
      </c>
      <c r="N8" s="11">
        <f t="shared" si="2"/>
        <v>220000</v>
      </c>
      <c r="O8" s="59" t="s">
        <v>17</v>
      </c>
    </row>
    <row r="9" spans="1:15" x14ac:dyDescent="0.4">
      <c r="A9" s="13">
        <v>1</v>
      </c>
      <c r="B9" s="4">
        <v>2</v>
      </c>
      <c r="C9" s="4"/>
      <c r="D9" s="47">
        <f t="shared" si="0"/>
        <v>2</v>
      </c>
      <c r="E9" s="5">
        <v>1</v>
      </c>
      <c r="F9" s="51">
        <f t="shared" si="1"/>
        <v>1</v>
      </c>
      <c r="G9" s="2">
        <v>15000</v>
      </c>
      <c r="H9" s="2"/>
      <c r="I9" s="2">
        <v>25000</v>
      </c>
      <c r="J9" s="2"/>
      <c r="K9" s="2">
        <v>40000</v>
      </c>
      <c r="L9" s="10"/>
      <c r="M9" s="77">
        <v>45000</v>
      </c>
      <c r="N9" s="11">
        <f t="shared" si="2"/>
        <v>125000</v>
      </c>
      <c r="O9" s="59" t="s">
        <v>17</v>
      </c>
    </row>
    <row r="10" spans="1:15" x14ac:dyDescent="0.4">
      <c r="A10" s="12">
        <v>1</v>
      </c>
      <c r="B10" s="4">
        <v>2</v>
      </c>
      <c r="C10" s="4"/>
      <c r="D10" s="47">
        <f t="shared" si="0"/>
        <v>2</v>
      </c>
      <c r="E10" s="5">
        <v>2</v>
      </c>
      <c r="F10" s="51">
        <f t="shared" si="1"/>
        <v>2</v>
      </c>
      <c r="G10" s="8">
        <v>15000</v>
      </c>
      <c r="H10" s="2"/>
      <c r="I10" s="2">
        <v>50000</v>
      </c>
      <c r="J10" s="2"/>
      <c r="K10" s="2">
        <v>40000</v>
      </c>
      <c r="L10" s="10"/>
      <c r="M10" s="77">
        <v>45000</v>
      </c>
      <c r="N10" s="11">
        <f t="shared" si="2"/>
        <v>150000</v>
      </c>
      <c r="O10" s="59" t="s">
        <v>17</v>
      </c>
    </row>
    <row r="11" spans="1:15" x14ac:dyDescent="0.4">
      <c r="A11" s="13">
        <v>1</v>
      </c>
      <c r="B11" s="4">
        <v>2</v>
      </c>
      <c r="C11" s="4"/>
      <c r="D11" s="47">
        <f t="shared" si="0"/>
        <v>2</v>
      </c>
      <c r="E11" s="5">
        <v>3</v>
      </c>
      <c r="F11" s="51">
        <f t="shared" si="1"/>
        <v>3</v>
      </c>
      <c r="G11" s="2">
        <v>15000</v>
      </c>
      <c r="H11" s="2"/>
      <c r="I11" s="2">
        <v>75000</v>
      </c>
      <c r="J11" s="2"/>
      <c r="K11" s="2"/>
      <c r="L11" s="10">
        <v>60000</v>
      </c>
      <c r="M11" s="77">
        <v>45000</v>
      </c>
      <c r="N11" s="11">
        <f t="shared" si="2"/>
        <v>195000</v>
      </c>
      <c r="O11" s="59" t="s">
        <v>17</v>
      </c>
    </row>
    <row r="12" spans="1:15" x14ac:dyDescent="0.4">
      <c r="A12" s="12">
        <v>1</v>
      </c>
      <c r="B12" s="4">
        <v>2</v>
      </c>
      <c r="C12" s="4"/>
      <c r="D12" s="47">
        <f t="shared" si="0"/>
        <v>2</v>
      </c>
      <c r="E12" s="5">
        <v>4</v>
      </c>
      <c r="F12" s="51">
        <f t="shared" si="1"/>
        <v>4</v>
      </c>
      <c r="G12" s="8">
        <v>15000</v>
      </c>
      <c r="H12" s="2"/>
      <c r="I12" s="2">
        <v>100000</v>
      </c>
      <c r="J12" s="2"/>
      <c r="K12" s="2"/>
      <c r="L12" s="10">
        <v>60000</v>
      </c>
      <c r="M12" s="77">
        <v>45000</v>
      </c>
      <c r="N12" s="11">
        <f t="shared" si="2"/>
        <v>220000</v>
      </c>
      <c r="O12" s="59" t="s">
        <v>17</v>
      </c>
    </row>
    <row r="13" spans="1:15" x14ac:dyDescent="0.4">
      <c r="A13" s="13">
        <v>1</v>
      </c>
      <c r="B13" s="4">
        <v>2</v>
      </c>
      <c r="C13" s="4"/>
      <c r="D13" s="47">
        <f t="shared" si="0"/>
        <v>2</v>
      </c>
      <c r="E13" s="5">
        <v>5</v>
      </c>
      <c r="F13" s="51">
        <f t="shared" si="1"/>
        <v>5</v>
      </c>
      <c r="G13" s="2">
        <v>15000</v>
      </c>
      <c r="H13" s="2"/>
      <c r="I13" s="2">
        <v>125000</v>
      </c>
      <c r="J13" s="2"/>
      <c r="K13" s="2"/>
      <c r="L13" s="10">
        <v>60000</v>
      </c>
      <c r="M13" s="77">
        <v>45000</v>
      </c>
      <c r="N13" s="11">
        <f t="shared" si="2"/>
        <v>245000</v>
      </c>
      <c r="O13" s="59" t="s">
        <v>17</v>
      </c>
    </row>
    <row r="14" spans="1:15" x14ac:dyDescent="0.4">
      <c r="A14" s="28">
        <v>1</v>
      </c>
      <c r="B14" s="4">
        <v>2</v>
      </c>
      <c r="C14" s="4"/>
      <c r="D14" s="49">
        <f t="shared" si="0"/>
        <v>2</v>
      </c>
      <c r="E14" s="5">
        <v>6</v>
      </c>
      <c r="F14" s="53">
        <f t="shared" si="1"/>
        <v>6</v>
      </c>
      <c r="G14" s="2">
        <v>15000</v>
      </c>
      <c r="H14" s="2"/>
      <c r="I14" s="2">
        <v>150000</v>
      </c>
      <c r="J14" s="40"/>
      <c r="K14" s="2"/>
      <c r="L14" s="10">
        <v>60000</v>
      </c>
      <c r="M14" s="77">
        <v>45000</v>
      </c>
      <c r="N14" s="62">
        <f t="shared" si="2"/>
        <v>270000</v>
      </c>
      <c r="O14" s="59" t="s">
        <v>17</v>
      </c>
    </row>
    <row r="15" spans="1:15" x14ac:dyDescent="0.4">
      <c r="A15" s="12">
        <v>1</v>
      </c>
      <c r="B15" s="6">
        <v>2</v>
      </c>
      <c r="C15" s="6">
        <v>1</v>
      </c>
      <c r="D15" s="47">
        <f t="shared" ref="D15:D19" si="3">SUM(B15:C15)</f>
        <v>3</v>
      </c>
      <c r="E15" s="7">
        <v>1</v>
      </c>
      <c r="F15" s="51">
        <f t="shared" ref="F15:F19" si="4">SUM(E15:E15)</f>
        <v>1</v>
      </c>
      <c r="G15" s="2">
        <v>15000</v>
      </c>
      <c r="H15" s="8">
        <v>25000</v>
      </c>
      <c r="I15" s="8">
        <v>25000</v>
      </c>
      <c r="J15" s="2"/>
      <c r="K15" s="8">
        <v>40000</v>
      </c>
      <c r="L15" s="9"/>
      <c r="M15" s="79">
        <v>45000</v>
      </c>
      <c r="N15" s="11">
        <f t="shared" ref="N15:N17" si="5">SUM(G15:M15)</f>
        <v>150000</v>
      </c>
      <c r="O15" s="58" t="s">
        <v>17</v>
      </c>
    </row>
    <row r="16" spans="1:15" x14ac:dyDescent="0.4">
      <c r="A16" s="12">
        <v>1</v>
      </c>
      <c r="B16" s="4">
        <v>2</v>
      </c>
      <c r="C16" s="4">
        <v>1</v>
      </c>
      <c r="D16" s="47">
        <f t="shared" si="3"/>
        <v>3</v>
      </c>
      <c r="E16" s="5">
        <v>2</v>
      </c>
      <c r="F16" s="51">
        <f t="shared" si="4"/>
        <v>2</v>
      </c>
      <c r="G16" s="2">
        <v>15000</v>
      </c>
      <c r="H16" s="2">
        <v>25000</v>
      </c>
      <c r="I16" s="2">
        <v>50000</v>
      </c>
      <c r="J16" s="2"/>
      <c r="K16" s="2">
        <v>40000</v>
      </c>
      <c r="L16" s="10"/>
      <c r="M16" s="77">
        <v>45000</v>
      </c>
      <c r="N16" s="11">
        <f t="shared" si="5"/>
        <v>175000</v>
      </c>
      <c r="O16" s="59" t="s">
        <v>17</v>
      </c>
    </row>
    <row r="17" spans="1:15" x14ac:dyDescent="0.4">
      <c r="A17" s="13">
        <v>1</v>
      </c>
      <c r="B17" s="4">
        <v>2</v>
      </c>
      <c r="C17" s="4">
        <v>1</v>
      </c>
      <c r="D17" s="47">
        <f t="shared" si="3"/>
        <v>3</v>
      </c>
      <c r="E17" s="5">
        <v>3</v>
      </c>
      <c r="F17" s="51">
        <f t="shared" si="4"/>
        <v>3</v>
      </c>
      <c r="G17" s="2">
        <v>15000</v>
      </c>
      <c r="H17" s="2">
        <v>25000</v>
      </c>
      <c r="I17" s="2">
        <v>75000</v>
      </c>
      <c r="J17" s="2"/>
      <c r="K17" s="2"/>
      <c r="L17" s="10">
        <v>60000</v>
      </c>
      <c r="M17" s="77">
        <v>45000</v>
      </c>
      <c r="N17" s="11">
        <f t="shared" si="5"/>
        <v>220000</v>
      </c>
      <c r="O17" s="59" t="s">
        <v>17</v>
      </c>
    </row>
    <row r="18" spans="1:15" x14ac:dyDescent="0.4">
      <c r="A18" s="12">
        <v>1</v>
      </c>
      <c r="B18" s="4">
        <v>2</v>
      </c>
      <c r="C18" s="4">
        <v>1</v>
      </c>
      <c r="D18" s="47">
        <f t="shared" si="3"/>
        <v>3</v>
      </c>
      <c r="E18" s="5">
        <v>4</v>
      </c>
      <c r="F18" s="51">
        <f t="shared" si="4"/>
        <v>4</v>
      </c>
      <c r="G18" s="2">
        <v>15000</v>
      </c>
      <c r="H18" s="2">
        <v>25000</v>
      </c>
      <c r="I18" s="2">
        <v>100000</v>
      </c>
      <c r="J18" s="2"/>
      <c r="K18" s="2"/>
      <c r="L18" s="10">
        <v>60000</v>
      </c>
      <c r="M18" s="77">
        <v>45000</v>
      </c>
      <c r="N18" s="11">
        <f>SUM(G18:M18)</f>
        <v>245000</v>
      </c>
      <c r="O18" s="59" t="s">
        <v>17</v>
      </c>
    </row>
    <row r="19" spans="1:15" x14ac:dyDescent="0.4">
      <c r="A19" s="13">
        <v>1</v>
      </c>
      <c r="B19" s="4">
        <v>2</v>
      </c>
      <c r="C19" s="4">
        <v>1</v>
      </c>
      <c r="D19" s="47">
        <f t="shared" si="3"/>
        <v>3</v>
      </c>
      <c r="E19" s="5">
        <v>5</v>
      </c>
      <c r="F19" s="51">
        <f t="shared" si="4"/>
        <v>5</v>
      </c>
      <c r="G19" s="2">
        <v>15000</v>
      </c>
      <c r="H19" s="2">
        <v>25000</v>
      </c>
      <c r="I19" s="2">
        <v>125000</v>
      </c>
      <c r="J19" s="2"/>
      <c r="K19" s="2"/>
      <c r="L19" s="10">
        <v>60000</v>
      </c>
      <c r="M19" s="77">
        <v>45000</v>
      </c>
      <c r="N19" s="11">
        <f>SUM(G19:M19)</f>
        <v>270000</v>
      </c>
      <c r="O19" s="59" t="s">
        <v>17</v>
      </c>
    </row>
    <row r="20" spans="1:15" x14ac:dyDescent="0.4">
      <c r="A20" s="12">
        <v>1</v>
      </c>
      <c r="B20" s="6">
        <v>2</v>
      </c>
      <c r="C20" s="6">
        <v>2</v>
      </c>
      <c r="D20" s="47">
        <f t="shared" ref="D20:D23" si="6">SUM(B20:C20)</f>
        <v>4</v>
      </c>
      <c r="E20" s="7">
        <v>1</v>
      </c>
      <c r="F20" s="51">
        <f t="shared" ref="F20:F23" si="7">SUM(E20:E20)</f>
        <v>1</v>
      </c>
      <c r="G20" s="2">
        <v>15000</v>
      </c>
      <c r="H20" s="8">
        <v>50000</v>
      </c>
      <c r="I20" s="8">
        <v>25000</v>
      </c>
      <c r="J20" s="38"/>
      <c r="K20" s="8">
        <v>40000</v>
      </c>
      <c r="L20" s="9"/>
      <c r="M20" s="77">
        <v>45000</v>
      </c>
      <c r="N20" s="11">
        <f t="shared" ref="N20:N23" si="8">SUM(G20:M20)</f>
        <v>175000</v>
      </c>
      <c r="O20" s="58" t="s">
        <v>17</v>
      </c>
    </row>
    <row r="21" spans="1:15" x14ac:dyDescent="0.4">
      <c r="A21" s="12">
        <v>1</v>
      </c>
      <c r="B21" s="4">
        <v>2</v>
      </c>
      <c r="C21" s="4">
        <v>2</v>
      </c>
      <c r="D21" s="47">
        <f t="shared" si="6"/>
        <v>4</v>
      </c>
      <c r="E21" s="5">
        <v>2</v>
      </c>
      <c r="F21" s="51">
        <f t="shared" si="7"/>
        <v>2</v>
      </c>
      <c r="G21" s="2">
        <v>15000</v>
      </c>
      <c r="H21" s="2">
        <v>50000</v>
      </c>
      <c r="I21" s="2">
        <v>50000</v>
      </c>
      <c r="J21" s="2"/>
      <c r="K21" s="2">
        <v>40000</v>
      </c>
      <c r="L21" s="10"/>
      <c r="M21" s="77">
        <v>45000</v>
      </c>
      <c r="N21" s="11">
        <f t="shared" si="8"/>
        <v>200000</v>
      </c>
      <c r="O21" s="59" t="s">
        <v>17</v>
      </c>
    </row>
    <row r="22" spans="1:15" x14ac:dyDescent="0.4">
      <c r="A22" s="13">
        <v>1</v>
      </c>
      <c r="B22" s="4">
        <v>2</v>
      </c>
      <c r="C22" s="4">
        <v>2</v>
      </c>
      <c r="D22" s="47">
        <f t="shared" si="6"/>
        <v>4</v>
      </c>
      <c r="E22" s="5">
        <v>3</v>
      </c>
      <c r="F22" s="51">
        <f t="shared" si="7"/>
        <v>3</v>
      </c>
      <c r="G22" s="2">
        <v>15000</v>
      </c>
      <c r="H22" s="2">
        <v>50000</v>
      </c>
      <c r="I22" s="2">
        <v>75000</v>
      </c>
      <c r="J22" s="2"/>
      <c r="K22" s="2"/>
      <c r="L22" s="10">
        <v>60000</v>
      </c>
      <c r="M22" s="77">
        <v>45000</v>
      </c>
      <c r="N22" s="11">
        <f t="shared" si="8"/>
        <v>245000</v>
      </c>
      <c r="O22" s="59" t="s">
        <v>17</v>
      </c>
    </row>
    <row r="23" spans="1:15" ht="19.5" thickBot="1" x14ac:dyDescent="0.45">
      <c r="A23" s="12">
        <v>1</v>
      </c>
      <c r="B23" s="36">
        <v>2</v>
      </c>
      <c r="C23" s="15">
        <v>2</v>
      </c>
      <c r="D23" s="64">
        <f t="shared" si="6"/>
        <v>4</v>
      </c>
      <c r="E23" s="16">
        <v>4</v>
      </c>
      <c r="F23" s="65">
        <f t="shared" si="7"/>
        <v>4</v>
      </c>
      <c r="G23" s="17">
        <v>15000</v>
      </c>
      <c r="H23" s="17">
        <v>50000</v>
      </c>
      <c r="I23" s="17">
        <v>100000</v>
      </c>
      <c r="J23" s="17"/>
      <c r="K23" s="17"/>
      <c r="L23" s="19">
        <v>60000</v>
      </c>
      <c r="M23" s="77">
        <v>45000</v>
      </c>
      <c r="N23" s="66">
        <f t="shared" si="8"/>
        <v>270000</v>
      </c>
      <c r="O23" s="60" t="s">
        <v>17</v>
      </c>
    </row>
    <row r="24" spans="1:15" x14ac:dyDescent="0.4">
      <c r="B24" s="63"/>
      <c r="J24" s="78"/>
      <c r="M24" s="75" t="s">
        <v>20</v>
      </c>
      <c r="N24" s="75"/>
      <c r="O24" s="75"/>
    </row>
    <row r="25" spans="1:15" x14ac:dyDescent="0.4">
      <c r="J25" s="78"/>
    </row>
    <row r="26" spans="1:15" x14ac:dyDescent="0.4">
      <c r="J26" s="78"/>
    </row>
    <row r="27" spans="1:15" x14ac:dyDescent="0.4">
      <c r="J27" s="78"/>
    </row>
    <row r="28" spans="1:15" x14ac:dyDescent="0.4">
      <c r="J28" s="78"/>
    </row>
  </sheetData>
  <mergeCells count="1">
    <mergeCell ref="M24:O24"/>
  </mergeCells>
  <phoneticPr fontId="2"/>
  <pageMargins left="0.7" right="0.7" top="0.75" bottom="0.75" header="0.3" footer="0.3"/>
  <pageSetup paperSize="9" scale="67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E7F3-AF03-47B8-9A7D-8562A1D7177F}">
  <sheetPr>
    <pageSetUpPr fitToPage="1"/>
  </sheetPr>
  <dimension ref="A1:T28"/>
  <sheetViews>
    <sheetView workbookViewId="0">
      <pane ySplit="1" topLeftCell="A2" activePane="bottomLeft" state="frozen"/>
      <selection pane="bottomLeft" activeCell="F8" sqref="F8"/>
    </sheetView>
  </sheetViews>
  <sheetFormatPr defaultRowHeight="18.75" x14ac:dyDescent="0.4"/>
  <cols>
    <col min="1" max="4" width="14.5" customWidth="1"/>
    <col min="5" max="5" width="6.625" customWidth="1"/>
    <col min="6" max="7" width="14.5" customWidth="1"/>
    <col min="8" max="8" width="6.625" customWidth="1"/>
    <col min="9" max="18" width="14.5" customWidth="1"/>
    <col min="19" max="19" width="6.625" customWidth="1"/>
  </cols>
  <sheetData>
    <row r="1" spans="1:20" ht="19.5" thickBot="1" x14ac:dyDescent="0.45">
      <c r="A1" s="20" t="s">
        <v>9</v>
      </c>
      <c r="B1" s="21" t="s">
        <v>8</v>
      </c>
      <c r="C1" s="21" t="s">
        <v>0</v>
      </c>
      <c r="D1" s="21" t="s">
        <v>1</v>
      </c>
      <c r="E1" s="21" t="s">
        <v>12</v>
      </c>
      <c r="F1" s="22" t="s">
        <v>2</v>
      </c>
      <c r="G1" s="22" t="s">
        <v>3</v>
      </c>
      <c r="H1" s="22" t="s">
        <v>11</v>
      </c>
      <c r="I1" s="23" t="s">
        <v>4</v>
      </c>
      <c r="J1" s="30" t="s">
        <v>0</v>
      </c>
      <c r="K1" s="23" t="s">
        <v>1</v>
      </c>
      <c r="L1" s="30" t="s">
        <v>2</v>
      </c>
      <c r="M1" s="23" t="s">
        <v>3</v>
      </c>
      <c r="N1" s="23" t="s">
        <v>13</v>
      </c>
      <c r="O1" s="23" t="s">
        <v>5</v>
      </c>
      <c r="P1" s="24" t="s">
        <v>5</v>
      </c>
      <c r="Q1" s="23" t="s">
        <v>10</v>
      </c>
      <c r="R1" s="25" t="s">
        <v>6</v>
      </c>
      <c r="S1" s="57" t="s">
        <v>16</v>
      </c>
    </row>
    <row r="2" spans="1:20" x14ac:dyDescent="0.4">
      <c r="A2" s="12">
        <v>1</v>
      </c>
      <c r="B2" s="6">
        <v>2</v>
      </c>
      <c r="C2" s="6"/>
      <c r="D2" s="6"/>
      <c r="E2" s="47">
        <f t="shared" ref="E2:E14" si="0">SUM(B2:D2)</f>
        <v>2</v>
      </c>
      <c r="F2" s="7"/>
      <c r="G2" s="7"/>
      <c r="H2" s="51">
        <f>SUM(F2:G2)</f>
        <v>0</v>
      </c>
      <c r="I2" s="8">
        <v>15000</v>
      </c>
      <c r="J2" s="31"/>
      <c r="K2" s="8"/>
      <c r="L2" s="31"/>
      <c r="M2" s="8"/>
      <c r="N2" s="8"/>
      <c r="O2" s="8"/>
      <c r="P2" s="9"/>
      <c r="Q2" s="8"/>
      <c r="R2" s="11">
        <f>SUM(I2:Q2)</f>
        <v>15000</v>
      </c>
      <c r="S2" s="58"/>
    </row>
    <row r="3" spans="1:20" x14ac:dyDescent="0.4">
      <c r="A3" s="13">
        <v>1</v>
      </c>
      <c r="B3" s="4">
        <v>2</v>
      </c>
      <c r="C3" s="4">
        <v>1</v>
      </c>
      <c r="D3" s="4"/>
      <c r="E3" s="47">
        <f t="shared" si="0"/>
        <v>3</v>
      </c>
      <c r="F3" s="5"/>
      <c r="G3" s="5"/>
      <c r="H3" s="51">
        <f t="shared" ref="H3:H14" si="1">SUM(F3:G3)</f>
        <v>0</v>
      </c>
      <c r="I3" s="2">
        <v>15000</v>
      </c>
      <c r="J3" s="32">
        <v>5000</v>
      </c>
      <c r="K3" s="2"/>
      <c r="L3" s="32"/>
      <c r="M3" s="3"/>
      <c r="N3" s="2"/>
      <c r="O3" s="2"/>
      <c r="P3" s="10"/>
      <c r="Q3" s="2"/>
      <c r="R3" s="11">
        <f t="shared" ref="R3:R14" si="2">SUM(I3:Q3)</f>
        <v>20000</v>
      </c>
      <c r="S3" s="59"/>
    </row>
    <row r="4" spans="1:20" x14ac:dyDescent="0.4">
      <c r="A4" s="12">
        <v>1</v>
      </c>
      <c r="B4" s="4">
        <v>2</v>
      </c>
      <c r="C4" s="4">
        <v>2</v>
      </c>
      <c r="D4" s="4"/>
      <c r="E4" s="47">
        <f t="shared" si="0"/>
        <v>4</v>
      </c>
      <c r="F4" s="5"/>
      <c r="G4" s="5"/>
      <c r="H4" s="51">
        <f t="shared" si="1"/>
        <v>0</v>
      </c>
      <c r="I4" s="8">
        <v>15000</v>
      </c>
      <c r="J4" s="32">
        <v>10000</v>
      </c>
      <c r="K4" s="2"/>
      <c r="L4" s="32"/>
      <c r="M4" s="2"/>
      <c r="N4" s="2"/>
      <c r="O4" s="2"/>
      <c r="P4" s="10"/>
      <c r="Q4" s="2"/>
      <c r="R4" s="11">
        <f t="shared" si="2"/>
        <v>25000</v>
      </c>
      <c r="S4" s="59"/>
    </row>
    <row r="5" spans="1:20" x14ac:dyDescent="0.4">
      <c r="A5" s="13">
        <v>1</v>
      </c>
      <c r="B5" s="4">
        <v>2</v>
      </c>
      <c r="C5" s="4">
        <v>2</v>
      </c>
      <c r="D5" s="4">
        <v>1</v>
      </c>
      <c r="E5" s="47">
        <f t="shared" si="0"/>
        <v>5</v>
      </c>
      <c r="F5" s="5"/>
      <c r="G5" s="5"/>
      <c r="H5" s="51">
        <f t="shared" si="1"/>
        <v>0</v>
      </c>
      <c r="I5" s="2">
        <v>15000</v>
      </c>
      <c r="J5" s="32">
        <v>10000</v>
      </c>
      <c r="K5" s="2">
        <v>25000</v>
      </c>
      <c r="L5" s="32"/>
      <c r="M5" s="2"/>
      <c r="N5" s="2"/>
      <c r="O5" s="2"/>
      <c r="P5" s="10"/>
      <c r="Q5" s="2"/>
      <c r="R5" s="11">
        <f t="shared" si="2"/>
        <v>50000</v>
      </c>
      <c r="S5" s="59"/>
    </row>
    <row r="6" spans="1:20" x14ac:dyDescent="0.4">
      <c r="A6" s="12">
        <v>1</v>
      </c>
      <c r="B6" s="4">
        <v>2</v>
      </c>
      <c r="C6" s="4">
        <v>2</v>
      </c>
      <c r="D6" s="4">
        <v>2</v>
      </c>
      <c r="E6" s="47">
        <f t="shared" si="0"/>
        <v>6</v>
      </c>
      <c r="F6" s="5"/>
      <c r="G6" s="5"/>
      <c r="H6" s="51">
        <f t="shared" si="1"/>
        <v>0</v>
      </c>
      <c r="I6" s="8">
        <v>15000</v>
      </c>
      <c r="J6" s="32">
        <v>10000</v>
      </c>
      <c r="K6" s="2">
        <v>50000</v>
      </c>
      <c r="L6" s="32"/>
      <c r="M6" s="2"/>
      <c r="N6" s="2"/>
      <c r="O6" s="2"/>
      <c r="P6" s="10"/>
      <c r="Q6" s="43"/>
      <c r="R6" s="11">
        <f t="shared" si="2"/>
        <v>75000</v>
      </c>
      <c r="S6" s="59"/>
    </row>
    <row r="7" spans="1:20" x14ac:dyDescent="0.4">
      <c r="A7" s="13">
        <v>1</v>
      </c>
      <c r="B7" s="4">
        <v>2</v>
      </c>
      <c r="C7" s="4">
        <v>2</v>
      </c>
      <c r="D7" s="4">
        <v>3</v>
      </c>
      <c r="E7" s="47">
        <f t="shared" si="0"/>
        <v>7</v>
      </c>
      <c r="F7" s="5"/>
      <c r="G7" s="5"/>
      <c r="H7" s="51">
        <f t="shared" si="1"/>
        <v>0</v>
      </c>
      <c r="I7" s="2">
        <v>15000</v>
      </c>
      <c r="J7" s="32">
        <v>10000</v>
      </c>
      <c r="K7" s="2">
        <v>75000</v>
      </c>
      <c r="L7" s="32"/>
      <c r="M7" s="2"/>
      <c r="N7" s="2">
        <v>10000</v>
      </c>
      <c r="O7" s="2"/>
      <c r="P7" s="10"/>
      <c r="Q7" s="77">
        <v>45000</v>
      </c>
      <c r="R7" s="11">
        <f t="shared" si="2"/>
        <v>155000</v>
      </c>
      <c r="S7" s="59" t="s">
        <v>17</v>
      </c>
    </row>
    <row r="8" spans="1:20" x14ac:dyDescent="0.4">
      <c r="A8" s="12">
        <v>1</v>
      </c>
      <c r="B8" s="4">
        <v>2</v>
      </c>
      <c r="C8" s="4">
        <v>2</v>
      </c>
      <c r="D8" s="4">
        <v>4</v>
      </c>
      <c r="E8" s="47">
        <f t="shared" si="0"/>
        <v>8</v>
      </c>
      <c r="F8" s="5"/>
      <c r="G8" s="5"/>
      <c r="H8" s="51">
        <f t="shared" si="1"/>
        <v>0</v>
      </c>
      <c r="I8" s="8">
        <v>15000</v>
      </c>
      <c r="J8" s="32">
        <v>10000</v>
      </c>
      <c r="K8" s="2">
        <v>100000</v>
      </c>
      <c r="L8" s="32"/>
      <c r="M8" s="2"/>
      <c r="N8" s="2">
        <v>10000</v>
      </c>
      <c r="O8" s="2"/>
      <c r="P8" s="10"/>
      <c r="Q8" s="77">
        <v>45000</v>
      </c>
      <c r="R8" s="11">
        <f t="shared" si="2"/>
        <v>180000</v>
      </c>
      <c r="S8" s="59" t="s">
        <v>17</v>
      </c>
    </row>
    <row r="9" spans="1:20" x14ac:dyDescent="0.4">
      <c r="A9" s="13">
        <v>1</v>
      </c>
      <c r="B9" s="4">
        <v>2</v>
      </c>
      <c r="C9" s="4"/>
      <c r="D9" s="4"/>
      <c r="E9" s="47">
        <f t="shared" si="0"/>
        <v>2</v>
      </c>
      <c r="F9" s="5">
        <v>1</v>
      </c>
      <c r="G9" s="5"/>
      <c r="H9" s="51">
        <f t="shared" si="1"/>
        <v>1</v>
      </c>
      <c r="I9" s="2">
        <v>15000</v>
      </c>
      <c r="J9" s="32"/>
      <c r="K9" s="2"/>
      <c r="L9" s="32">
        <v>5000</v>
      </c>
      <c r="M9" s="2"/>
      <c r="N9" s="2"/>
      <c r="O9" s="2">
        <v>40000</v>
      </c>
      <c r="P9" s="10"/>
      <c r="Q9" s="77">
        <v>45000</v>
      </c>
      <c r="R9" s="11">
        <f t="shared" si="2"/>
        <v>105000</v>
      </c>
      <c r="S9" s="59" t="s">
        <v>17</v>
      </c>
    </row>
    <row r="10" spans="1:20" x14ac:dyDescent="0.4">
      <c r="A10" s="12">
        <v>1</v>
      </c>
      <c r="B10" s="4">
        <v>2</v>
      </c>
      <c r="C10" s="4"/>
      <c r="D10" s="4"/>
      <c r="E10" s="47">
        <f t="shared" si="0"/>
        <v>2</v>
      </c>
      <c r="F10" s="5">
        <v>2</v>
      </c>
      <c r="G10" s="5"/>
      <c r="H10" s="51">
        <f t="shared" si="1"/>
        <v>2</v>
      </c>
      <c r="I10" s="8">
        <v>15000</v>
      </c>
      <c r="J10" s="32"/>
      <c r="K10" s="2"/>
      <c r="L10" s="32">
        <v>10000</v>
      </c>
      <c r="M10" s="2"/>
      <c r="N10" s="2"/>
      <c r="O10" s="2">
        <v>40000</v>
      </c>
      <c r="P10" s="10"/>
      <c r="Q10" s="77">
        <v>45000</v>
      </c>
      <c r="R10" s="11">
        <f t="shared" si="2"/>
        <v>110000</v>
      </c>
      <c r="S10" s="59" t="s">
        <v>17</v>
      </c>
    </row>
    <row r="11" spans="1:20" x14ac:dyDescent="0.4">
      <c r="A11" s="13">
        <v>1</v>
      </c>
      <c r="B11" s="4">
        <v>2</v>
      </c>
      <c r="C11" s="4"/>
      <c r="D11" s="4"/>
      <c r="E11" s="47">
        <f t="shared" si="0"/>
        <v>2</v>
      </c>
      <c r="F11" s="5">
        <v>2</v>
      </c>
      <c r="G11" s="5">
        <v>1</v>
      </c>
      <c r="H11" s="51">
        <f t="shared" si="1"/>
        <v>3</v>
      </c>
      <c r="I11" s="2">
        <v>15000</v>
      </c>
      <c r="J11" s="32"/>
      <c r="K11" s="2"/>
      <c r="L11" s="32">
        <v>10000</v>
      </c>
      <c r="M11" s="2">
        <v>25000</v>
      </c>
      <c r="N11" s="2"/>
      <c r="O11" s="2"/>
      <c r="P11" s="10">
        <v>60000</v>
      </c>
      <c r="Q11" s="77">
        <v>45000</v>
      </c>
      <c r="R11" s="11">
        <f t="shared" si="2"/>
        <v>155000</v>
      </c>
      <c r="S11" s="59" t="s">
        <v>17</v>
      </c>
    </row>
    <row r="12" spans="1:20" x14ac:dyDescent="0.4">
      <c r="A12" s="12">
        <v>1</v>
      </c>
      <c r="B12" s="4">
        <v>2</v>
      </c>
      <c r="C12" s="4"/>
      <c r="D12" s="4"/>
      <c r="E12" s="47">
        <f t="shared" si="0"/>
        <v>2</v>
      </c>
      <c r="F12" s="5">
        <v>2</v>
      </c>
      <c r="G12" s="5">
        <v>2</v>
      </c>
      <c r="H12" s="51">
        <f t="shared" si="1"/>
        <v>4</v>
      </c>
      <c r="I12" s="8">
        <v>15000</v>
      </c>
      <c r="J12" s="32"/>
      <c r="K12" s="2"/>
      <c r="L12" s="32">
        <v>10000</v>
      </c>
      <c r="M12" s="2">
        <v>50000</v>
      </c>
      <c r="N12" s="2"/>
      <c r="O12" s="2"/>
      <c r="P12" s="10">
        <v>60000</v>
      </c>
      <c r="Q12" s="77">
        <v>45000</v>
      </c>
      <c r="R12" s="11">
        <f t="shared" si="2"/>
        <v>180000</v>
      </c>
      <c r="S12" s="59" t="s">
        <v>17</v>
      </c>
    </row>
    <row r="13" spans="1:20" x14ac:dyDescent="0.4">
      <c r="A13" s="13">
        <v>1</v>
      </c>
      <c r="B13" s="4">
        <v>2</v>
      </c>
      <c r="C13" s="4"/>
      <c r="D13" s="4"/>
      <c r="E13" s="47">
        <f t="shared" si="0"/>
        <v>2</v>
      </c>
      <c r="F13" s="5">
        <v>2</v>
      </c>
      <c r="G13" s="5">
        <v>3</v>
      </c>
      <c r="H13" s="51">
        <f t="shared" si="1"/>
        <v>5</v>
      </c>
      <c r="I13" s="2">
        <v>15000</v>
      </c>
      <c r="J13" s="32"/>
      <c r="K13" s="2"/>
      <c r="L13" s="32">
        <v>10000</v>
      </c>
      <c r="M13" s="2">
        <v>75000</v>
      </c>
      <c r="N13" s="2"/>
      <c r="O13" s="2"/>
      <c r="P13" s="10">
        <v>60000</v>
      </c>
      <c r="Q13" s="77">
        <v>45000</v>
      </c>
      <c r="R13" s="11">
        <f t="shared" si="2"/>
        <v>205000</v>
      </c>
      <c r="S13" s="59" t="s">
        <v>17</v>
      </c>
    </row>
    <row r="14" spans="1:20" x14ac:dyDescent="0.4">
      <c r="A14" s="13">
        <v>1</v>
      </c>
      <c r="B14" s="4">
        <v>2</v>
      </c>
      <c r="C14" s="4"/>
      <c r="D14" s="4"/>
      <c r="E14" s="49">
        <f t="shared" si="0"/>
        <v>2</v>
      </c>
      <c r="F14" s="5">
        <v>2</v>
      </c>
      <c r="G14" s="5">
        <v>4</v>
      </c>
      <c r="H14" s="53">
        <f t="shared" si="1"/>
        <v>6</v>
      </c>
      <c r="I14" s="2">
        <v>15000</v>
      </c>
      <c r="J14" s="32"/>
      <c r="K14" s="2"/>
      <c r="L14" s="32">
        <v>10000</v>
      </c>
      <c r="M14" s="2">
        <v>100000</v>
      </c>
      <c r="N14" s="40"/>
      <c r="O14" s="2"/>
      <c r="P14" s="10">
        <v>60000</v>
      </c>
      <c r="Q14" s="77">
        <v>45000</v>
      </c>
      <c r="R14" s="11">
        <f t="shared" si="2"/>
        <v>230000</v>
      </c>
      <c r="S14" s="59" t="s">
        <v>17</v>
      </c>
    </row>
    <row r="15" spans="1:20" x14ac:dyDescent="0.4">
      <c r="A15" s="12">
        <v>1</v>
      </c>
      <c r="B15" s="6">
        <v>2</v>
      </c>
      <c r="C15" s="6">
        <v>1</v>
      </c>
      <c r="D15" s="6"/>
      <c r="E15" s="47">
        <f t="shared" ref="E15:E19" si="3">SUM(B15:D15)</f>
        <v>3</v>
      </c>
      <c r="F15" s="7">
        <v>1</v>
      </c>
      <c r="G15" s="7"/>
      <c r="H15" s="51">
        <f t="shared" ref="H15:H19" si="4">SUM(F15:G15)</f>
        <v>1</v>
      </c>
      <c r="I15" s="8">
        <v>15000</v>
      </c>
      <c r="J15" s="31">
        <v>5000</v>
      </c>
      <c r="K15" s="8"/>
      <c r="L15" s="31">
        <v>5000</v>
      </c>
      <c r="M15" s="8"/>
      <c r="N15" s="2"/>
      <c r="O15" s="8">
        <v>40000</v>
      </c>
      <c r="P15" s="9"/>
      <c r="Q15" s="79">
        <v>45000</v>
      </c>
      <c r="R15" s="11">
        <f t="shared" ref="R15:R19" si="5">SUM(I15:Q15)</f>
        <v>110000</v>
      </c>
      <c r="S15" s="58" t="s">
        <v>17</v>
      </c>
      <c r="T15" s="67"/>
    </row>
    <row r="16" spans="1:20" x14ac:dyDescent="0.4">
      <c r="A16" s="12">
        <v>1</v>
      </c>
      <c r="B16" s="4">
        <v>2</v>
      </c>
      <c r="C16" s="4">
        <v>1</v>
      </c>
      <c r="D16" s="4"/>
      <c r="E16" s="47">
        <f t="shared" si="3"/>
        <v>3</v>
      </c>
      <c r="F16" s="5">
        <v>1</v>
      </c>
      <c r="G16" s="5">
        <v>1</v>
      </c>
      <c r="H16" s="51">
        <f t="shared" si="4"/>
        <v>2</v>
      </c>
      <c r="I16" s="2">
        <v>15000</v>
      </c>
      <c r="J16" s="32">
        <v>5000</v>
      </c>
      <c r="K16" s="2"/>
      <c r="L16" s="32">
        <v>5000</v>
      </c>
      <c r="M16" s="2">
        <v>25000</v>
      </c>
      <c r="N16" s="2"/>
      <c r="O16" s="2">
        <v>40000</v>
      </c>
      <c r="P16" s="10"/>
      <c r="Q16" s="77">
        <v>45000</v>
      </c>
      <c r="R16" s="11">
        <f t="shared" si="5"/>
        <v>135000</v>
      </c>
      <c r="S16" s="59" t="s">
        <v>17</v>
      </c>
    </row>
    <row r="17" spans="1:19" x14ac:dyDescent="0.4">
      <c r="A17" s="13">
        <v>1</v>
      </c>
      <c r="B17" s="4">
        <v>2</v>
      </c>
      <c r="C17" s="4">
        <v>1</v>
      </c>
      <c r="D17" s="4"/>
      <c r="E17" s="47">
        <f t="shared" si="3"/>
        <v>3</v>
      </c>
      <c r="F17" s="5">
        <v>1</v>
      </c>
      <c r="G17" s="5">
        <v>2</v>
      </c>
      <c r="H17" s="51">
        <f t="shared" si="4"/>
        <v>3</v>
      </c>
      <c r="I17" s="8">
        <v>15000</v>
      </c>
      <c r="J17" s="32">
        <v>5000</v>
      </c>
      <c r="K17" s="2"/>
      <c r="L17" s="32">
        <v>5000</v>
      </c>
      <c r="M17" s="2">
        <v>50000</v>
      </c>
      <c r="N17" s="2"/>
      <c r="O17" s="2"/>
      <c r="P17" s="10">
        <v>60000</v>
      </c>
      <c r="Q17" s="79">
        <v>45000</v>
      </c>
      <c r="R17" s="11">
        <f t="shared" si="5"/>
        <v>180000</v>
      </c>
      <c r="S17" s="59" t="s">
        <v>17</v>
      </c>
    </row>
    <row r="18" spans="1:19" x14ac:dyDescent="0.4">
      <c r="A18" s="12">
        <v>1</v>
      </c>
      <c r="B18" s="4">
        <v>2</v>
      </c>
      <c r="C18" s="4">
        <v>1</v>
      </c>
      <c r="D18" s="4"/>
      <c r="E18" s="47">
        <f t="shared" si="3"/>
        <v>3</v>
      </c>
      <c r="F18" s="5">
        <v>1</v>
      </c>
      <c r="G18" s="5">
        <v>3</v>
      </c>
      <c r="H18" s="51">
        <f t="shared" si="4"/>
        <v>4</v>
      </c>
      <c r="I18" s="2">
        <v>15000</v>
      </c>
      <c r="J18" s="32">
        <v>5000</v>
      </c>
      <c r="K18" s="2"/>
      <c r="L18" s="32">
        <v>5000</v>
      </c>
      <c r="M18" s="2">
        <v>75000</v>
      </c>
      <c r="N18" s="2"/>
      <c r="O18" s="2"/>
      <c r="P18" s="10">
        <v>60000</v>
      </c>
      <c r="Q18" s="77">
        <v>45000</v>
      </c>
      <c r="R18" s="11">
        <f t="shared" si="5"/>
        <v>205000</v>
      </c>
      <c r="S18" s="59" t="s">
        <v>17</v>
      </c>
    </row>
    <row r="19" spans="1:19" x14ac:dyDescent="0.4">
      <c r="A19" s="13">
        <v>1</v>
      </c>
      <c r="B19" s="4">
        <v>2</v>
      </c>
      <c r="C19" s="4">
        <v>1</v>
      </c>
      <c r="D19" s="4"/>
      <c r="E19" s="47">
        <f t="shared" si="3"/>
        <v>3</v>
      </c>
      <c r="F19" s="5">
        <v>1</v>
      </c>
      <c r="G19" s="5">
        <v>4</v>
      </c>
      <c r="H19" s="51">
        <f t="shared" si="4"/>
        <v>5</v>
      </c>
      <c r="I19" s="8">
        <v>15000</v>
      </c>
      <c r="J19" s="32">
        <v>5000</v>
      </c>
      <c r="K19" s="2"/>
      <c r="L19" s="32">
        <v>5000</v>
      </c>
      <c r="M19" s="2">
        <v>100000</v>
      </c>
      <c r="N19" s="2"/>
      <c r="O19" s="2"/>
      <c r="P19" s="10">
        <v>60000</v>
      </c>
      <c r="Q19" s="79">
        <v>45000</v>
      </c>
      <c r="R19" s="11">
        <f t="shared" si="5"/>
        <v>230000</v>
      </c>
      <c r="S19" s="59" t="s">
        <v>17</v>
      </c>
    </row>
    <row r="20" spans="1:19" x14ac:dyDescent="0.4">
      <c r="A20" s="13">
        <v>1</v>
      </c>
      <c r="B20" s="4">
        <v>2</v>
      </c>
      <c r="C20" s="4">
        <v>2</v>
      </c>
      <c r="D20" s="4"/>
      <c r="E20" s="47">
        <f t="shared" ref="E20:E23" si="6">SUM(B20:D20)</f>
        <v>4</v>
      </c>
      <c r="F20" s="5"/>
      <c r="G20" s="5">
        <v>1</v>
      </c>
      <c r="H20" s="51">
        <f t="shared" ref="H20:H23" si="7">SUM(F20:G20)</f>
        <v>1</v>
      </c>
      <c r="I20" s="2">
        <v>15000</v>
      </c>
      <c r="J20" s="32">
        <v>10000</v>
      </c>
      <c r="K20" s="2"/>
      <c r="L20" s="32"/>
      <c r="M20" s="2">
        <v>25000</v>
      </c>
      <c r="N20" s="38"/>
      <c r="O20" s="2">
        <v>40000</v>
      </c>
      <c r="P20" s="10"/>
      <c r="Q20" s="77">
        <v>45000</v>
      </c>
      <c r="R20" s="11">
        <f t="shared" ref="R20:R23" si="8">SUM(I20:Q20)</f>
        <v>135000</v>
      </c>
      <c r="S20" s="59" t="s">
        <v>17</v>
      </c>
    </row>
    <row r="21" spans="1:19" x14ac:dyDescent="0.4">
      <c r="A21" s="12">
        <v>1</v>
      </c>
      <c r="B21" s="4">
        <v>2</v>
      </c>
      <c r="C21" s="4">
        <v>2</v>
      </c>
      <c r="D21" s="4"/>
      <c r="E21" s="47">
        <f t="shared" si="6"/>
        <v>4</v>
      </c>
      <c r="F21" s="5"/>
      <c r="G21" s="5">
        <v>2</v>
      </c>
      <c r="H21" s="51">
        <f t="shared" si="7"/>
        <v>2</v>
      </c>
      <c r="I21" s="8">
        <v>15000</v>
      </c>
      <c r="J21" s="32">
        <v>10000</v>
      </c>
      <c r="K21" s="2"/>
      <c r="L21" s="32"/>
      <c r="M21" s="2">
        <v>50000</v>
      </c>
      <c r="N21" s="2"/>
      <c r="O21" s="2">
        <v>40000</v>
      </c>
      <c r="P21" s="10"/>
      <c r="Q21" s="79">
        <v>45000</v>
      </c>
      <c r="R21" s="11">
        <f t="shared" si="8"/>
        <v>160000</v>
      </c>
      <c r="S21" s="59" t="s">
        <v>17</v>
      </c>
    </row>
    <row r="22" spans="1:19" x14ac:dyDescent="0.4">
      <c r="A22" s="13">
        <v>1</v>
      </c>
      <c r="B22" s="4">
        <v>2</v>
      </c>
      <c r="C22" s="4">
        <v>2</v>
      </c>
      <c r="D22" s="4"/>
      <c r="E22" s="47">
        <f t="shared" si="6"/>
        <v>4</v>
      </c>
      <c r="F22" s="5"/>
      <c r="G22" s="5">
        <v>3</v>
      </c>
      <c r="H22" s="51">
        <f t="shared" si="7"/>
        <v>3</v>
      </c>
      <c r="I22" s="2">
        <v>15000</v>
      </c>
      <c r="J22" s="32">
        <v>10000</v>
      </c>
      <c r="K22" s="2"/>
      <c r="L22" s="32"/>
      <c r="M22" s="2">
        <v>75000</v>
      </c>
      <c r="N22" s="2"/>
      <c r="O22" s="2"/>
      <c r="P22" s="10">
        <v>60000</v>
      </c>
      <c r="Q22" s="77">
        <v>45000</v>
      </c>
      <c r="R22" s="11">
        <f t="shared" si="8"/>
        <v>205000</v>
      </c>
      <c r="S22" s="59" t="s">
        <v>17</v>
      </c>
    </row>
    <row r="23" spans="1:19" ht="19.5" thickBot="1" x14ac:dyDescent="0.45">
      <c r="A23" s="14">
        <v>1</v>
      </c>
      <c r="B23" s="15">
        <v>2</v>
      </c>
      <c r="C23" s="15">
        <v>2</v>
      </c>
      <c r="D23" s="15"/>
      <c r="E23" s="64">
        <f t="shared" si="6"/>
        <v>4</v>
      </c>
      <c r="F23" s="16"/>
      <c r="G23" s="16">
        <v>4</v>
      </c>
      <c r="H23" s="65">
        <f t="shared" si="7"/>
        <v>4</v>
      </c>
      <c r="I23" s="17">
        <v>15000</v>
      </c>
      <c r="J23" s="33">
        <v>10000</v>
      </c>
      <c r="K23" s="17"/>
      <c r="L23" s="33"/>
      <c r="M23" s="17">
        <v>100000</v>
      </c>
      <c r="N23" s="17"/>
      <c r="O23" s="17"/>
      <c r="P23" s="19">
        <v>60000</v>
      </c>
      <c r="Q23" s="79">
        <v>45000</v>
      </c>
      <c r="R23" s="66">
        <f t="shared" si="8"/>
        <v>230000</v>
      </c>
      <c r="S23" s="60" t="s">
        <v>17</v>
      </c>
    </row>
    <row r="24" spans="1:19" x14ac:dyDescent="0.4">
      <c r="N24" s="78"/>
      <c r="Q24" s="75" t="s">
        <v>21</v>
      </c>
      <c r="R24" s="75"/>
      <c r="S24" s="75"/>
    </row>
    <row r="25" spans="1:19" x14ac:dyDescent="0.4">
      <c r="N25" s="78"/>
    </row>
    <row r="26" spans="1:19" x14ac:dyDescent="0.4">
      <c r="N26" s="78"/>
    </row>
    <row r="27" spans="1:19" x14ac:dyDescent="0.4">
      <c r="N27" s="78"/>
    </row>
    <row r="28" spans="1:19" x14ac:dyDescent="0.4">
      <c r="N28" s="78"/>
    </row>
  </sheetData>
  <mergeCells count="1">
    <mergeCell ref="Q24:S24"/>
  </mergeCells>
  <phoneticPr fontId="2"/>
  <pageMargins left="0.7" right="0.7" top="0.75" bottom="0.75" header="0.3" footer="0.3"/>
  <pageSetup paperSize="9" scale="50" fitToHeight="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1542-847C-4A9F-BA36-0290D8821324}">
  <sheetPr>
    <pageSetUpPr fitToPage="1"/>
  </sheetPr>
  <dimension ref="A1:R29"/>
  <sheetViews>
    <sheetView tabSelected="1" zoomScale="90" zoomScaleNormal="90" workbookViewId="0">
      <pane ySplit="1" topLeftCell="A2" activePane="bottomLeft" state="frozen"/>
      <selection pane="bottomLeft" activeCell="K19" sqref="K19"/>
    </sheetView>
  </sheetViews>
  <sheetFormatPr defaultRowHeight="18.75" x14ac:dyDescent="0.4"/>
  <cols>
    <col min="1" max="2" width="14.5" customWidth="1"/>
    <col min="3" max="3" width="7.625" customWidth="1"/>
    <col min="4" max="5" width="14.5" customWidth="1"/>
    <col min="6" max="6" width="7.625" customWidth="1"/>
    <col min="7" max="7" width="14.5" customWidth="1"/>
    <col min="8" max="8" width="7.625" customWidth="1"/>
    <col min="9" max="17" width="14.5" customWidth="1"/>
    <col min="18" max="18" width="6.625" customWidth="1"/>
  </cols>
  <sheetData>
    <row r="1" spans="1:18" ht="19.5" thickBot="1" x14ac:dyDescent="0.45">
      <c r="A1" s="20" t="s">
        <v>9</v>
      </c>
      <c r="B1" s="26" t="s">
        <v>14</v>
      </c>
      <c r="C1" s="26" t="s">
        <v>15</v>
      </c>
      <c r="D1" s="21" t="s">
        <v>8</v>
      </c>
      <c r="E1" s="21" t="s">
        <v>1</v>
      </c>
      <c r="F1" s="21" t="s">
        <v>12</v>
      </c>
      <c r="G1" s="22" t="s">
        <v>3</v>
      </c>
      <c r="H1" s="22" t="s">
        <v>11</v>
      </c>
      <c r="I1" s="23" t="s">
        <v>4</v>
      </c>
      <c r="J1" s="30" t="s">
        <v>14</v>
      </c>
      <c r="K1" s="23" t="s">
        <v>1</v>
      </c>
      <c r="L1" s="23" t="s">
        <v>3</v>
      </c>
      <c r="M1" s="23" t="s">
        <v>13</v>
      </c>
      <c r="N1" s="23" t="s">
        <v>5</v>
      </c>
      <c r="O1" s="24" t="s">
        <v>5</v>
      </c>
      <c r="P1" s="24" t="s">
        <v>10</v>
      </c>
      <c r="Q1" s="25" t="s">
        <v>6</v>
      </c>
      <c r="R1" s="57" t="s">
        <v>16</v>
      </c>
    </row>
    <row r="2" spans="1:18" x14ac:dyDescent="0.4">
      <c r="A2" s="12">
        <v>1</v>
      </c>
      <c r="B2" s="27"/>
      <c r="C2" s="44">
        <f t="shared" ref="C2:C19" si="0">SUM(A2:B2)</f>
        <v>1</v>
      </c>
      <c r="D2" s="6">
        <v>2</v>
      </c>
      <c r="E2" s="6"/>
      <c r="F2" s="47">
        <f t="shared" ref="F2:F19" si="1">SUM(D2:E2)</f>
        <v>2</v>
      </c>
      <c r="G2" s="7"/>
      <c r="H2" s="51">
        <f t="shared" ref="H2:H19" si="2">SUM(G2:G2)</f>
        <v>0</v>
      </c>
      <c r="I2" s="8">
        <v>15000</v>
      </c>
      <c r="J2" s="31"/>
      <c r="K2" s="8"/>
      <c r="L2" s="8"/>
      <c r="M2" s="8"/>
      <c r="N2" s="8"/>
      <c r="O2" s="9"/>
      <c r="P2" s="9"/>
      <c r="Q2" s="11">
        <f>SUM(I2:P2)</f>
        <v>15000</v>
      </c>
      <c r="R2" s="58"/>
    </row>
    <row r="3" spans="1:18" x14ac:dyDescent="0.4">
      <c r="A3" s="13">
        <v>1</v>
      </c>
      <c r="B3" s="28">
        <v>1</v>
      </c>
      <c r="C3" s="44">
        <f t="shared" si="0"/>
        <v>2</v>
      </c>
      <c r="D3" s="4">
        <v>2</v>
      </c>
      <c r="E3" s="4"/>
      <c r="F3" s="47">
        <f t="shared" si="1"/>
        <v>2</v>
      </c>
      <c r="G3" s="5"/>
      <c r="H3" s="51">
        <f t="shared" si="2"/>
        <v>0</v>
      </c>
      <c r="I3" s="2">
        <v>15000</v>
      </c>
      <c r="J3" s="32">
        <v>3500</v>
      </c>
      <c r="K3" s="2"/>
      <c r="L3" s="3"/>
      <c r="M3" s="2">
        <v>10000</v>
      </c>
      <c r="N3" s="2"/>
      <c r="O3" s="10"/>
      <c r="P3" s="10"/>
      <c r="Q3" s="11">
        <f t="shared" ref="Q3:Q19" si="3">SUM(I3:P3)</f>
        <v>28500</v>
      </c>
      <c r="R3" s="59"/>
    </row>
    <row r="4" spans="1:18" x14ac:dyDescent="0.4">
      <c r="A4" s="12">
        <v>1</v>
      </c>
      <c r="B4" s="28">
        <v>2</v>
      </c>
      <c r="C4" s="44">
        <f t="shared" si="0"/>
        <v>3</v>
      </c>
      <c r="D4" s="4">
        <v>2</v>
      </c>
      <c r="E4" s="4"/>
      <c r="F4" s="47">
        <f t="shared" si="1"/>
        <v>2</v>
      </c>
      <c r="G4" s="5"/>
      <c r="H4" s="51">
        <f t="shared" si="2"/>
        <v>0</v>
      </c>
      <c r="I4" s="8">
        <v>15000</v>
      </c>
      <c r="J4" s="32">
        <v>7000</v>
      </c>
      <c r="K4" s="2"/>
      <c r="L4" s="2"/>
      <c r="M4" s="2">
        <v>10000</v>
      </c>
      <c r="N4" s="2"/>
      <c r="O4" s="10"/>
      <c r="P4" s="10"/>
      <c r="Q4" s="11">
        <f t="shared" si="3"/>
        <v>32000</v>
      </c>
      <c r="R4" s="59"/>
    </row>
    <row r="5" spans="1:18" x14ac:dyDescent="0.4">
      <c r="A5" s="13">
        <v>1</v>
      </c>
      <c r="B5" s="28">
        <v>3</v>
      </c>
      <c r="C5" s="44">
        <f t="shared" si="0"/>
        <v>4</v>
      </c>
      <c r="D5" s="4">
        <v>2</v>
      </c>
      <c r="E5" s="4"/>
      <c r="F5" s="47">
        <f t="shared" si="1"/>
        <v>2</v>
      </c>
      <c r="G5" s="5"/>
      <c r="H5" s="51">
        <f t="shared" si="2"/>
        <v>0</v>
      </c>
      <c r="I5" s="2">
        <v>15000</v>
      </c>
      <c r="J5" s="32">
        <v>10500</v>
      </c>
      <c r="K5" s="2"/>
      <c r="L5" s="2"/>
      <c r="M5" s="2">
        <v>10000</v>
      </c>
      <c r="N5" s="2"/>
      <c r="O5" s="10"/>
      <c r="P5" s="10"/>
      <c r="Q5" s="11">
        <f t="shared" si="3"/>
        <v>35500</v>
      </c>
      <c r="R5" s="59"/>
    </row>
    <row r="6" spans="1:18" x14ac:dyDescent="0.4">
      <c r="A6" s="12">
        <v>1</v>
      </c>
      <c r="B6" s="28">
        <v>4</v>
      </c>
      <c r="C6" s="44">
        <f t="shared" si="0"/>
        <v>5</v>
      </c>
      <c r="D6" s="4">
        <v>2</v>
      </c>
      <c r="E6" s="4"/>
      <c r="F6" s="47">
        <f t="shared" si="1"/>
        <v>2</v>
      </c>
      <c r="G6" s="5"/>
      <c r="H6" s="51">
        <f t="shared" si="2"/>
        <v>0</v>
      </c>
      <c r="I6" s="8">
        <v>15000</v>
      </c>
      <c r="J6" s="32">
        <v>14000</v>
      </c>
      <c r="K6" s="2"/>
      <c r="L6" s="2"/>
      <c r="M6" s="2">
        <v>10000</v>
      </c>
      <c r="N6" s="2"/>
      <c r="O6" s="10"/>
      <c r="P6" s="10"/>
      <c r="Q6" s="11">
        <f t="shared" si="3"/>
        <v>39000</v>
      </c>
      <c r="R6" s="59"/>
    </row>
    <row r="7" spans="1:18" x14ac:dyDescent="0.4">
      <c r="A7" s="13">
        <v>1</v>
      </c>
      <c r="B7" s="28">
        <v>5</v>
      </c>
      <c r="C7" s="44">
        <f t="shared" si="0"/>
        <v>6</v>
      </c>
      <c r="D7" s="4">
        <v>2</v>
      </c>
      <c r="E7" s="4"/>
      <c r="F7" s="47">
        <f t="shared" si="1"/>
        <v>2</v>
      </c>
      <c r="G7" s="5"/>
      <c r="H7" s="51">
        <f t="shared" si="2"/>
        <v>0</v>
      </c>
      <c r="I7" s="2">
        <v>15000</v>
      </c>
      <c r="J7" s="32">
        <v>17500</v>
      </c>
      <c r="K7" s="2"/>
      <c r="L7" s="2"/>
      <c r="M7" s="2"/>
      <c r="N7" s="2">
        <v>40000</v>
      </c>
      <c r="O7" s="10"/>
      <c r="P7" s="42"/>
      <c r="Q7" s="11">
        <f t="shared" si="3"/>
        <v>72500</v>
      </c>
      <c r="R7" s="59" t="s">
        <v>17</v>
      </c>
    </row>
    <row r="8" spans="1:18" x14ac:dyDescent="0.4">
      <c r="A8" s="12">
        <v>1</v>
      </c>
      <c r="B8" s="28"/>
      <c r="C8" s="44">
        <f t="shared" si="0"/>
        <v>1</v>
      </c>
      <c r="D8" s="4">
        <v>2</v>
      </c>
      <c r="E8" s="4">
        <v>1</v>
      </c>
      <c r="F8" s="47">
        <f t="shared" si="1"/>
        <v>3</v>
      </c>
      <c r="G8" s="5"/>
      <c r="H8" s="51">
        <f t="shared" si="2"/>
        <v>0</v>
      </c>
      <c r="I8" s="8">
        <v>15000</v>
      </c>
      <c r="J8" s="32"/>
      <c r="K8" s="2">
        <v>25000</v>
      </c>
      <c r="L8" s="2"/>
      <c r="M8" s="2">
        <v>10000</v>
      </c>
      <c r="N8" s="2"/>
      <c r="O8" s="10"/>
      <c r="P8" s="42"/>
      <c r="Q8" s="11">
        <f t="shared" si="3"/>
        <v>50000</v>
      </c>
      <c r="R8" s="59" t="s">
        <v>17</v>
      </c>
    </row>
    <row r="9" spans="1:18" x14ac:dyDescent="0.4">
      <c r="A9" s="13">
        <v>1</v>
      </c>
      <c r="B9" s="28"/>
      <c r="C9" s="44">
        <f t="shared" si="0"/>
        <v>1</v>
      </c>
      <c r="D9" s="4">
        <v>2</v>
      </c>
      <c r="E9" s="4">
        <v>2</v>
      </c>
      <c r="F9" s="47">
        <f t="shared" si="1"/>
        <v>4</v>
      </c>
      <c r="G9" s="5"/>
      <c r="H9" s="51">
        <f t="shared" si="2"/>
        <v>0</v>
      </c>
      <c r="I9" s="2">
        <v>15000</v>
      </c>
      <c r="J9" s="32"/>
      <c r="K9" s="2">
        <v>50000</v>
      </c>
      <c r="L9" s="2"/>
      <c r="M9" s="2">
        <v>10000</v>
      </c>
      <c r="N9" s="2"/>
      <c r="O9" s="10"/>
      <c r="P9" s="42"/>
      <c r="Q9" s="11">
        <f t="shared" si="3"/>
        <v>75000</v>
      </c>
      <c r="R9" s="59" t="s">
        <v>17</v>
      </c>
    </row>
    <row r="10" spans="1:18" x14ac:dyDescent="0.4">
      <c r="A10" s="12">
        <v>1</v>
      </c>
      <c r="B10" s="28"/>
      <c r="C10" s="44">
        <f t="shared" si="0"/>
        <v>1</v>
      </c>
      <c r="D10" s="4">
        <v>2</v>
      </c>
      <c r="E10" s="4">
        <v>3</v>
      </c>
      <c r="F10" s="47">
        <f t="shared" si="1"/>
        <v>5</v>
      </c>
      <c r="G10" s="5"/>
      <c r="H10" s="51">
        <f t="shared" si="2"/>
        <v>0</v>
      </c>
      <c r="I10" s="8">
        <v>15000</v>
      </c>
      <c r="J10" s="32"/>
      <c r="K10" s="2">
        <v>75000</v>
      </c>
      <c r="L10" s="2"/>
      <c r="M10" s="2">
        <v>10000</v>
      </c>
      <c r="N10" s="2"/>
      <c r="O10" s="10"/>
      <c r="P10" s="42"/>
      <c r="Q10" s="11">
        <f t="shared" si="3"/>
        <v>100000</v>
      </c>
      <c r="R10" s="59" t="s">
        <v>17</v>
      </c>
    </row>
    <row r="11" spans="1:18" x14ac:dyDescent="0.4">
      <c r="A11" s="13">
        <v>1</v>
      </c>
      <c r="B11" s="28"/>
      <c r="C11" s="44">
        <f t="shared" si="0"/>
        <v>1</v>
      </c>
      <c r="D11" s="4">
        <v>2</v>
      </c>
      <c r="E11" s="4">
        <v>4</v>
      </c>
      <c r="F11" s="47">
        <f t="shared" si="1"/>
        <v>6</v>
      </c>
      <c r="G11" s="5"/>
      <c r="H11" s="51">
        <f t="shared" si="2"/>
        <v>0</v>
      </c>
      <c r="I11" s="2">
        <v>15000</v>
      </c>
      <c r="J11" s="32"/>
      <c r="K11" s="2">
        <v>100000</v>
      </c>
      <c r="L11" s="2"/>
      <c r="M11" s="2">
        <v>10000</v>
      </c>
      <c r="N11" s="2"/>
      <c r="O11" s="10"/>
      <c r="P11" s="42"/>
      <c r="Q11" s="11">
        <f t="shared" si="3"/>
        <v>125000</v>
      </c>
      <c r="R11" s="59" t="s">
        <v>17</v>
      </c>
    </row>
    <row r="12" spans="1:18" x14ac:dyDescent="0.4">
      <c r="A12" s="12">
        <v>1</v>
      </c>
      <c r="B12" s="28"/>
      <c r="C12" s="44">
        <f t="shared" si="0"/>
        <v>1</v>
      </c>
      <c r="D12" s="4">
        <v>2</v>
      </c>
      <c r="E12" s="4">
        <v>5</v>
      </c>
      <c r="F12" s="47">
        <f t="shared" si="1"/>
        <v>7</v>
      </c>
      <c r="G12" s="5"/>
      <c r="H12" s="51">
        <f t="shared" si="2"/>
        <v>0</v>
      </c>
      <c r="I12" s="8">
        <v>15000</v>
      </c>
      <c r="J12" s="32"/>
      <c r="K12" s="2">
        <v>125000</v>
      </c>
      <c r="L12" s="2"/>
      <c r="M12" s="2"/>
      <c r="N12" s="2">
        <v>40000</v>
      </c>
      <c r="O12" s="10"/>
      <c r="P12" s="80">
        <v>45000</v>
      </c>
      <c r="Q12" s="11">
        <f t="shared" si="3"/>
        <v>225000</v>
      </c>
      <c r="R12" s="59" t="s">
        <v>17</v>
      </c>
    </row>
    <row r="13" spans="1:18" x14ac:dyDescent="0.4">
      <c r="A13" s="13">
        <v>1</v>
      </c>
      <c r="B13" s="28"/>
      <c r="C13" s="44">
        <f t="shared" si="0"/>
        <v>1</v>
      </c>
      <c r="D13" s="4">
        <v>2</v>
      </c>
      <c r="E13" s="4">
        <v>6</v>
      </c>
      <c r="F13" s="47">
        <f t="shared" si="1"/>
        <v>8</v>
      </c>
      <c r="G13" s="5"/>
      <c r="H13" s="51">
        <f t="shared" si="2"/>
        <v>0</v>
      </c>
      <c r="I13" s="2">
        <v>15000</v>
      </c>
      <c r="J13" s="32"/>
      <c r="K13" s="2">
        <v>150000</v>
      </c>
      <c r="L13" s="2"/>
      <c r="M13" s="2"/>
      <c r="N13" s="2">
        <v>40000</v>
      </c>
      <c r="O13" s="10"/>
      <c r="P13" s="80">
        <v>45000</v>
      </c>
      <c r="Q13" s="11">
        <f t="shared" si="3"/>
        <v>250000</v>
      </c>
      <c r="R13" s="59" t="s">
        <v>17</v>
      </c>
    </row>
    <row r="14" spans="1:18" x14ac:dyDescent="0.4">
      <c r="A14" s="34">
        <v>1</v>
      </c>
      <c r="B14" s="35"/>
      <c r="C14" s="45">
        <f t="shared" si="0"/>
        <v>1</v>
      </c>
      <c r="D14" s="36">
        <v>2</v>
      </c>
      <c r="E14" s="36"/>
      <c r="F14" s="48">
        <f t="shared" si="1"/>
        <v>2</v>
      </c>
      <c r="G14" s="37">
        <v>1</v>
      </c>
      <c r="H14" s="52">
        <f t="shared" si="2"/>
        <v>1</v>
      </c>
      <c r="I14" s="38">
        <v>15000</v>
      </c>
      <c r="J14" s="39"/>
      <c r="K14" s="40"/>
      <c r="L14" s="40">
        <v>25000</v>
      </c>
      <c r="M14" s="40"/>
      <c r="N14" s="40">
        <v>40000</v>
      </c>
      <c r="O14" s="41"/>
      <c r="P14" s="81">
        <v>45000</v>
      </c>
      <c r="Q14" s="11">
        <f t="shared" si="3"/>
        <v>125000</v>
      </c>
      <c r="R14" s="59" t="s">
        <v>17</v>
      </c>
    </row>
    <row r="15" spans="1:18" x14ac:dyDescent="0.4">
      <c r="A15" s="13">
        <v>1</v>
      </c>
      <c r="B15" s="28"/>
      <c r="C15" s="46">
        <f t="shared" si="0"/>
        <v>1</v>
      </c>
      <c r="D15" s="4">
        <v>2</v>
      </c>
      <c r="E15" s="4"/>
      <c r="F15" s="49">
        <f t="shared" si="1"/>
        <v>2</v>
      </c>
      <c r="G15" s="5">
        <v>2</v>
      </c>
      <c r="H15" s="53">
        <f t="shared" si="2"/>
        <v>2</v>
      </c>
      <c r="I15" s="2">
        <v>15000</v>
      </c>
      <c r="J15" s="32"/>
      <c r="K15" s="2"/>
      <c r="L15" s="2">
        <v>50000</v>
      </c>
      <c r="M15" s="2"/>
      <c r="N15" s="2">
        <v>40000</v>
      </c>
      <c r="O15" s="2"/>
      <c r="P15" s="80">
        <v>45000</v>
      </c>
      <c r="Q15" s="11">
        <f t="shared" si="3"/>
        <v>150000</v>
      </c>
      <c r="R15" s="59" t="s">
        <v>17</v>
      </c>
    </row>
    <row r="16" spans="1:18" x14ac:dyDescent="0.4">
      <c r="A16" s="13">
        <v>1</v>
      </c>
      <c r="B16" s="28"/>
      <c r="C16" s="44">
        <f t="shared" si="0"/>
        <v>1</v>
      </c>
      <c r="D16" s="4">
        <v>2</v>
      </c>
      <c r="E16" s="4"/>
      <c r="F16" s="47">
        <f t="shared" si="1"/>
        <v>2</v>
      </c>
      <c r="G16" s="5">
        <v>3</v>
      </c>
      <c r="H16" s="51">
        <f t="shared" si="2"/>
        <v>3</v>
      </c>
      <c r="I16" s="2">
        <v>15000</v>
      </c>
      <c r="J16" s="32"/>
      <c r="K16" s="2"/>
      <c r="L16" s="40">
        <v>75000</v>
      </c>
      <c r="M16" s="2"/>
      <c r="N16" s="2"/>
      <c r="O16" s="10">
        <v>60000</v>
      </c>
      <c r="P16" s="10">
        <v>45000</v>
      </c>
      <c r="Q16" s="11">
        <f t="shared" si="3"/>
        <v>195000</v>
      </c>
      <c r="R16" s="59" t="s">
        <v>17</v>
      </c>
    </row>
    <row r="17" spans="1:18" x14ac:dyDescent="0.4">
      <c r="A17" s="12">
        <v>1</v>
      </c>
      <c r="B17" s="28"/>
      <c r="C17" s="44">
        <f t="shared" si="0"/>
        <v>1</v>
      </c>
      <c r="D17" s="4">
        <v>2</v>
      </c>
      <c r="E17" s="4"/>
      <c r="F17" s="47">
        <f t="shared" si="1"/>
        <v>2</v>
      </c>
      <c r="G17" s="5">
        <v>4</v>
      </c>
      <c r="H17" s="51">
        <f t="shared" si="2"/>
        <v>4</v>
      </c>
      <c r="I17" s="8">
        <v>15000</v>
      </c>
      <c r="J17" s="32"/>
      <c r="K17" s="2"/>
      <c r="L17" s="2">
        <v>100000</v>
      </c>
      <c r="M17" s="2"/>
      <c r="N17" s="2"/>
      <c r="O17" s="10">
        <v>60000</v>
      </c>
      <c r="P17" s="41">
        <v>45000</v>
      </c>
      <c r="Q17" s="11">
        <f t="shared" si="3"/>
        <v>220000</v>
      </c>
      <c r="R17" s="59" t="s">
        <v>17</v>
      </c>
    </row>
    <row r="18" spans="1:18" x14ac:dyDescent="0.4">
      <c r="A18" s="13">
        <v>1</v>
      </c>
      <c r="B18" s="28"/>
      <c r="C18" s="44">
        <f t="shared" si="0"/>
        <v>1</v>
      </c>
      <c r="D18" s="4">
        <v>2</v>
      </c>
      <c r="E18" s="4"/>
      <c r="F18" s="47">
        <f t="shared" si="1"/>
        <v>2</v>
      </c>
      <c r="G18" s="5">
        <v>5</v>
      </c>
      <c r="H18" s="51">
        <f t="shared" si="2"/>
        <v>5</v>
      </c>
      <c r="I18" s="2">
        <v>15000</v>
      </c>
      <c r="J18" s="32"/>
      <c r="K18" s="2"/>
      <c r="L18" s="40">
        <v>125000</v>
      </c>
      <c r="M18" s="2"/>
      <c r="N18" s="2"/>
      <c r="O18" s="10">
        <v>60000</v>
      </c>
      <c r="P18" s="10">
        <v>45000</v>
      </c>
      <c r="Q18" s="11">
        <f t="shared" si="3"/>
        <v>245000</v>
      </c>
      <c r="R18" s="59" t="s">
        <v>17</v>
      </c>
    </row>
    <row r="19" spans="1:18" x14ac:dyDescent="0.4">
      <c r="A19" s="13">
        <v>1</v>
      </c>
      <c r="B19" s="28"/>
      <c r="C19" s="46">
        <f t="shared" si="0"/>
        <v>1</v>
      </c>
      <c r="D19" s="4">
        <v>2</v>
      </c>
      <c r="E19" s="4"/>
      <c r="F19" s="49">
        <f t="shared" si="1"/>
        <v>2</v>
      </c>
      <c r="G19" s="5">
        <v>6</v>
      </c>
      <c r="H19" s="53">
        <f t="shared" si="2"/>
        <v>6</v>
      </c>
      <c r="I19" s="2">
        <v>15000</v>
      </c>
      <c r="J19" s="32"/>
      <c r="K19" s="2"/>
      <c r="L19" s="2">
        <v>150000</v>
      </c>
      <c r="M19" s="2"/>
      <c r="N19" s="2"/>
      <c r="O19" s="10">
        <v>60000</v>
      </c>
      <c r="P19" s="73">
        <v>45000</v>
      </c>
      <c r="Q19" s="62">
        <f t="shared" si="3"/>
        <v>270000</v>
      </c>
      <c r="R19" s="59" t="s">
        <v>17</v>
      </c>
    </row>
    <row r="20" spans="1:18" x14ac:dyDescent="0.4">
      <c r="A20" s="34">
        <v>1</v>
      </c>
      <c r="B20" s="68"/>
      <c r="C20" s="45">
        <f t="shared" ref="C20:C24" si="4">SUM(A20:B20)</f>
        <v>1</v>
      </c>
      <c r="D20" s="69">
        <v>2</v>
      </c>
      <c r="E20" s="69">
        <v>1</v>
      </c>
      <c r="F20" s="48">
        <f t="shared" ref="F20:F24" si="5">SUM(D20:E20)</f>
        <v>3</v>
      </c>
      <c r="G20" s="70">
        <v>1</v>
      </c>
      <c r="H20" s="52">
        <f t="shared" ref="H20:H24" si="6">SUM(G20:G20)</f>
        <v>1</v>
      </c>
      <c r="I20" s="2">
        <v>15000</v>
      </c>
      <c r="J20" s="71"/>
      <c r="K20" s="38">
        <v>25000</v>
      </c>
      <c r="L20" s="38">
        <v>25000</v>
      </c>
      <c r="M20" s="38"/>
      <c r="N20" s="38">
        <v>40000</v>
      </c>
      <c r="O20" s="72"/>
      <c r="P20" s="10">
        <v>45000</v>
      </c>
      <c r="Q20" s="11">
        <f t="shared" ref="Q20:Q24" si="7">SUM(I20:P20)</f>
        <v>150000</v>
      </c>
      <c r="R20" s="58" t="s">
        <v>17</v>
      </c>
    </row>
    <row r="21" spans="1:18" x14ac:dyDescent="0.4">
      <c r="A21" s="13">
        <v>1</v>
      </c>
      <c r="B21" s="28"/>
      <c r="C21" s="46">
        <f t="shared" si="4"/>
        <v>1</v>
      </c>
      <c r="D21" s="4">
        <v>2</v>
      </c>
      <c r="E21" s="4">
        <v>1</v>
      </c>
      <c r="F21" s="49">
        <f t="shared" si="5"/>
        <v>3</v>
      </c>
      <c r="G21" s="5">
        <v>2</v>
      </c>
      <c r="H21" s="53">
        <f t="shared" si="6"/>
        <v>2</v>
      </c>
      <c r="I21" s="2">
        <v>15000</v>
      </c>
      <c r="J21" s="32"/>
      <c r="K21" s="2">
        <v>25000</v>
      </c>
      <c r="L21" s="2">
        <v>50000</v>
      </c>
      <c r="M21" s="2"/>
      <c r="N21" s="2">
        <v>40000</v>
      </c>
      <c r="O21" s="2"/>
      <c r="P21" s="73">
        <v>45000</v>
      </c>
      <c r="Q21" s="11">
        <f t="shared" si="7"/>
        <v>175000</v>
      </c>
      <c r="R21" s="59" t="s">
        <v>17</v>
      </c>
    </row>
    <row r="22" spans="1:18" x14ac:dyDescent="0.4">
      <c r="A22" s="13">
        <v>1</v>
      </c>
      <c r="B22" s="28"/>
      <c r="C22" s="44">
        <f t="shared" si="4"/>
        <v>1</v>
      </c>
      <c r="D22" s="4">
        <v>2</v>
      </c>
      <c r="E22" s="4">
        <v>1</v>
      </c>
      <c r="F22" s="47">
        <f t="shared" si="5"/>
        <v>3</v>
      </c>
      <c r="G22" s="5">
        <v>3</v>
      </c>
      <c r="H22" s="51">
        <f t="shared" si="6"/>
        <v>3</v>
      </c>
      <c r="I22" s="2">
        <v>15000</v>
      </c>
      <c r="J22" s="32"/>
      <c r="K22" s="2">
        <v>25000</v>
      </c>
      <c r="L22" s="40">
        <v>75000</v>
      </c>
      <c r="M22" s="2"/>
      <c r="N22" s="2"/>
      <c r="O22" s="10">
        <v>60000</v>
      </c>
      <c r="P22" s="10">
        <v>45000</v>
      </c>
      <c r="Q22" s="11">
        <f t="shared" si="7"/>
        <v>220000</v>
      </c>
      <c r="R22" s="59" t="s">
        <v>17</v>
      </c>
    </row>
    <row r="23" spans="1:18" x14ac:dyDescent="0.4">
      <c r="A23" s="12">
        <v>1</v>
      </c>
      <c r="B23" s="28"/>
      <c r="C23" s="44">
        <f t="shared" si="4"/>
        <v>1</v>
      </c>
      <c r="D23" s="4">
        <v>2</v>
      </c>
      <c r="E23" s="4">
        <v>1</v>
      </c>
      <c r="F23" s="47">
        <f t="shared" si="5"/>
        <v>3</v>
      </c>
      <c r="G23" s="5">
        <v>4</v>
      </c>
      <c r="H23" s="51">
        <f t="shared" si="6"/>
        <v>4</v>
      </c>
      <c r="I23" s="2">
        <v>15000</v>
      </c>
      <c r="J23" s="32"/>
      <c r="K23" s="2">
        <v>25000</v>
      </c>
      <c r="L23" s="2">
        <v>100000</v>
      </c>
      <c r="M23" s="2"/>
      <c r="N23" s="2"/>
      <c r="O23" s="10">
        <v>60000</v>
      </c>
      <c r="P23" s="73">
        <v>45000</v>
      </c>
      <c r="Q23" s="11">
        <f t="shared" si="7"/>
        <v>245000</v>
      </c>
      <c r="R23" s="59" t="s">
        <v>17</v>
      </c>
    </row>
    <row r="24" spans="1:18" x14ac:dyDescent="0.4">
      <c r="A24" s="13">
        <v>1</v>
      </c>
      <c r="B24" s="28"/>
      <c r="C24" s="44">
        <f t="shared" si="4"/>
        <v>1</v>
      </c>
      <c r="D24" s="4">
        <v>2</v>
      </c>
      <c r="E24" s="4">
        <v>1</v>
      </c>
      <c r="F24" s="47">
        <f t="shared" si="5"/>
        <v>3</v>
      </c>
      <c r="G24" s="5">
        <v>5</v>
      </c>
      <c r="H24" s="51">
        <f t="shared" si="6"/>
        <v>5</v>
      </c>
      <c r="I24" s="2">
        <v>15000</v>
      </c>
      <c r="J24" s="32"/>
      <c r="K24" s="2">
        <v>25000</v>
      </c>
      <c r="L24" s="40">
        <v>125000</v>
      </c>
      <c r="M24" s="2"/>
      <c r="N24" s="2"/>
      <c r="O24" s="10">
        <v>60000</v>
      </c>
      <c r="P24" s="10">
        <v>45000</v>
      </c>
      <c r="Q24" s="11">
        <f t="shared" si="7"/>
        <v>270000</v>
      </c>
      <c r="R24" s="59" t="s">
        <v>17</v>
      </c>
    </row>
    <row r="25" spans="1:18" x14ac:dyDescent="0.4">
      <c r="A25" s="34">
        <v>1</v>
      </c>
      <c r="B25" s="35"/>
      <c r="C25" s="45">
        <f t="shared" ref="C25:C28" si="8">SUM(A25:B25)</f>
        <v>1</v>
      </c>
      <c r="D25" s="36">
        <v>2</v>
      </c>
      <c r="E25" s="36">
        <v>2</v>
      </c>
      <c r="F25" s="48">
        <f t="shared" ref="F25:F28" si="9">SUM(D25:E25)</f>
        <v>4</v>
      </c>
      <c r="G25" s="37">
        <v>1</v>
      </c>
      <c r="H25" s="52">
        <f t="shared" ref="H25:H28" si="10">SUM(G25:G25)</f>
        <v>1</v>
      </c>
      <c r="I25" s="2">
        <v>15000</v>
      </c>
      <c r="J25" s="39"/>
      <c r="K25" s="40">
        <v>50000</v>
      </c>
      <c r="L25" s="40">
        <v>25000</v>
      </c>
      <c r="M25" s="40"/>
      <c r="N25" s="40">
        <v>40000</v>
      </c>
      <c r="O25" s="41"/>
      <c r="P25" s="73">
        <v>45000</v>
      </c>
      <c r="Q25" s="11">
        <f t="shared" ref="Q25:Q28" si="11">SUM(I25:P25)</f>
        <v>175000</v>
      </c>
      <c r="R25" s="59" t="s">
        <v>17</v>
      </c>
    </row>
    <row r="26" spans="1:18" x14ac:dyDescent="0.4">
      <c r="A26" s="13">
        <v>1</v>
      </c>
      <c r="B26" s="28"/>
      <c r="C26" s="46">
        <f t="shared" si="8"/>
        <v>1</v>
      </c>
      <c r="D26" s="4">
        <v>2</v>
      </c>
      <c r="E26" s="4">
        <v>2</v>
      </c>
      <c r="F26" s="49">
        <f t="shared" si="9"/>
        <v>4</v>
      </c>
      <c r="G26" s="5">
        <v>2</v>
      </c>
      <c r="H26" s="53">
        <f t="shared" si="10"/>
        <v>2</v>
      </c>
      <c r="I26" s="2">
        <v>15000</v>
      </c>
      <c r="J26" s="32"/>
      <c r="K26" s="2">
        <v>50000</v>
      </c>
      <c r="L26" s="2">
        <v>50000</v>
      </c>
      <c r="M26" s="2"/>
      <c r="N26" s="2">
        <v>40000</v>
      </c>
      <c r="O26" s="2"/>
      <c r="P26" s="10">
        <v>45000</v>
      </c>
      <c r="Q26" s="11">
        <f t="shared" si="11"/>
        <v>200000</v>
      </c>
      <c r="R26" s="59" t="s">
        <v>17</v>
      </c>
    </row>
    <row r="27" spans="1:18" x14ac:dyDescent="0.4">
      <c r="A27" s="13">
        <v>1</v>
      </c>
      <c r="B27" s="28"/>
      <c r="C27" s="44">
        <f t="shared" si="8"/>
        <v>1</v>
      </c>
      <c r="D27" s="4">
        <v>2</v>
      </c>
      <c r="E27" s="4">
        <v>2</v>
      </c>
      <c r="F27" s="47">
        <f t="shared" si="9"/>
        <v>4</v>
      </c>
      <c r="G27" s="5">
        <v>3</v>
      </c>
      <c r="H27" s="51">
        <f t="shared" si="10"/>
        <v>3</v>
      </c>
      <c r="I27" s="2">
        <v>15000</v>
      </c>
      <c r="J27" s="32"/>
      <c r="K27" s="2">
        <v>50000</v>
      </c>
      <c r="L27" s="40">
        <v>75000</v>
      </c>
      <c r="M27" s="2"/>
      <c r="N27" s="2"/>
      <c r="O27" s="10">
        <v>60000</v>
      </c>
      <c r="P27" s="73">
        <v>45000</v>
      </c>
      <c r="Q27" s="11">
        <f t="shared" si="11"/>
        <v>245000</v>
      </c>
      <c r="R27" s="59" t="s">
        <v>17</v>
      </c>
    </row>
    <row r="28" spans="1:18" ht="19.5" thickBot="1" x14ac:dyDescent="0.45">
      <c r="A28" s="14">
        <v>1</v>
      </c>
      <c r="B28" s="29"/>
      <c r="C28" s="74">
        <f t="shared" si="8"/>
        <v>1</v>
      </c>
      <c r="D28" s="15">
        <v>2</v>
      </c>
      <c r="E28" s="15">
        <v>2</v>
      </c>
      <c r="F28" s="64">
        <f t="shared" si="9"/>
        <v>4</v>
      </c>
      <c r="G28" s="16">
        <v>4</v>
      </c>
      <c r="H28" s="65">
        <f t="shared" si="10"/>
        <v>4</v>
      </c>
      <c r="I28" s="17">
        <v>15000</v>
      </c>
      <c r="J28" s="33"/>
      <c r="K28" s="17">
        <v>50000</v>
      </c>
      <c r="L28" s="17">
        <v>100000</v>
      </c>
      <c r="M28" s="17"/>
      <c r="N28" s="17"/>
      <c r="O28" s="19">
        <v>60000</v>
      </c>
      <c r="P28" s="10">
        <v>45000</v>
      </c>
      <c r="Q28" s="66">
        <f t="shared" si="11"/>
        <v>270000</v>
      </c>
      <c r="R28" s="60" t="s">
        <v>17</v>
      </c>
    </row>
    <row r="29" spans="1:18" x14ac:dyDescent="0.4">
      <c r="P29" s="75" t="s">
        <v>19</v>
      </c>
      <c r="Q29" s="75"/>
      <c r="R29" s="75"/>
    </row>
  </sheetData>
  <mergeCells count="1">
    <mergeCell ref="P29:R29"/>
  </mergeCells>
  <phoneticPr fontId="2"/>
  <pageMargins left="0.7" right="0.7" top="0.75" bottom="0.75" header="0.3" footer="0.3"/>
  <pageSetup paperSize="9"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ボールルーム</vt:lpstr>
      <vt:lpstr>コンウェイ1・2・3</vt:lpstr>
      <vt:lpstr>コンウェイ2＆3</vt:lpstr>
      <vt:lpstr>パビリオン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KYOEI SLTY</dc:creator>
  <cp:lastModifiedBy>KYOEI SLTY</cp:lastModifiedBy>
  <cp:lastPrinted>2026-04-29T03:19:27Z</cp:lastPrinted>
  <dcterms:created xsi:type="dcterms:W3CDTF">2026-04-27T05:27:10Z</dcterms:created>
  <dcterms:modified xsi:type="dcterms:W3CDTF">2026-07-22T06:10:10Z</dcterms:modified>
</cp:coreProperties>
</file>